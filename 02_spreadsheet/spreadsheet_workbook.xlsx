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dhitra\Desktop\FINTECH\02_spreadsheet\"/>
    </mc:Choice>
  </mc:AlternateContent>
  <bookViews>
    <workbookView xWindow="0" yWindow="0" windowWidth="20490" windowHeight="7755"/>
  </bookViews>
  <sheets>
    <sheet name="Pivot" sheetId="6" r:id="rId1"/>
    <sheet name="payment_method_breakdown" sheetId="7" r:id="rId2"/>
    <sheet name="transactions" sheetId="2" r:id="rId3"/>
    <sheet name="merchant_master" sheetId="3" r:id="rId4"/>
    <sheet name="exchange_rates" sheetId="4" r:id="rId5"/>
  </sheets>
  <definedNames>
    <definedName name="_xlnm._FilterDatabase" localSheetId="4" hidden="1">exchange_rates!$A$1:$C$19</definedName>
    <definedName name="_xlnm._FilterDatabase" localSheetId="2" hidden="1">transactions!$A$1:$Q$31</definedName>
  </definedNames>
  <calcPr calcId="152511"/>
  <pivotCaches>
    <pivotCache cacheId="4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4" i="2" l="1"/>
  <c r="Q6" i="2"/>
  <c r="Q27" i="2"/>
  <c r="Q12" i="2"/>
  <c r="Q17" i="2"/>
  <c r="Q9" i="2"/>
  <c r="Q13" i="2"/>
  <c r="Q31" i="2"/>
  <c r="Q2" i="2"/>
  <c r="Q25" i="2"/>
  <c r="Q21" i="2"/>
  <c r="Q15" i="2"/>
  <c r="Q7" i="2"/>
  <c r="Q30" i="2"/>
  <c r="Q22" i="2"/>
  <c r="Q26" i="2"/>
  <c r="Q29" i="2"/>
  <c r="Q19" i="2"/>
  <c r="Q5" i="2"/>
  <c r="Q14" i="2"/>
  <c r="Q11" i="2"/>
  <c r="Q8" i="2"/>
  <c r="Q4" i="2"/>
  <c r="Q20" i="2"/>
  <c r="Q16" i="2"/>
  <c r="Q3" i="2"/>
  <c r="Q18" i="2"/>
  <c r="Q23" i="2"/>
  <c r="Q28" i="2"/>
  <c r="Q10" i="2"/>
  <c r="P25" i="2"/>
  <c r="P9" i="2"/>
  <c r="P13" i="2"/>
  <c r="P31" i="2"/>
  <c r="P2" i="2"/>
  <c r="P3" i="2"/>
  <c r="P15" i="2"/>
  <c r="P7" i="2"/>
  <c r="P8" i="2"/>
  <c r="P26" i="2"/>
  <c r="P30" i="2"/>
  <c r="P14" i="2"/>
  <c r="P11" i="2"/>
  <c r="P20" i="2"/>
  <c r="P16" i="2"/>
  <c r="P23" i="2"/>
  <c r="P28" i="2"/>
  <c r="P6" i="2" l="1"/>
  <c r="P18" i="2"/>
  <c r="P4" i="2"/>
  <c r="P5" i="2"/>
  <c r="P22" i="2"/>
  <c r="P21" i="2"/>
  <c r="P27" i="2"/>
  <c r="P19" i="2"/>
  <c r="P29" i="2"/>
  <c r="P17" i="2"/>
  <c r="P10" i="2"/>
  <c r="P12" i="2"/>
  <c r="P24" i="2"/>
</calcChain>
</file>

<file path=xl/sharedStrings.xml><?xml version="1.0" encoding="utf-8"?>
<sst xmlns="http://schemas.openxmlformats.org/spreadsheetml/2006/main" count="405" uniqueCount="98">
  <si>
    <t>UPI</t>
  </si>
  <si>
    <t>U010</t>
  </si>
  <si>
    <t>US</t>
  </si>
  <si>
    <t>Failed E05 Timeout</t>
  </si>
  <si>
    <t>USD</t>
  </si>
  <si>
    <t>T030</t>
  </si>
  <si>
    <t>Wallet</t>
  </si>
  <si>
    <t>U009</t>
  </si>
  <si>
    <t>T029</t>
  </si>
  <si>
    <t>Card</t>
  </si>
  <si>
    <t>U008</t>
  </si>
  <si>
    <t>Delta Travels</t>
  </si>
  <si>
    <t>T028</t>
  </si>
  <si>
    <t>U007</t>
  </si>
  <si>
    <t>T027</t>
  </si>
  <si>
    <t>NetBanking</t>
  </si>
  <si>
    <t>U006</t>
  </si>
  <si>
    <t>EUR</t>
  </si>
  <si>
    <t>Eco Home</t>
  </si>
  <si>
    <t>T026</t>
  </si>
  <si>
    <t>U005</t>
  </si>
  <si>
    <t>City Pharma</t>
  </si>
  <si>
    <t>T025</t>
  </si>
  <si>
    <t>U004</t>
  </si>
  <si>
    <t>EU</t>
  </si>
  <si>
    <t>T024</t>
  </si>
  <si>
    <t>U003</t>
  </si>
  <si>
    <t>T023</t>
  </si>
  <si>
    <t>APAC</t>
  </si>
  <si>
    <t>INR</t>
  </si>
  <si>
    <t>T022</t>
  </si>
  <si>
    <t>T021</t>
  </si>
  <si>
    <t>Alpha Mart</t>
  </si>
  <si>
    <t>T020</t>
  </si>
  <si>
    <t>T019</t>
  </si>
  <si>
    <t>T018</t>
  </si>
  <si>
    <t>T017</t>
  </si>
  <si>
    <t>T016</t>
  </si>
  <si>
    <t>U002</t>
  </si>
  <si>
    <t>T015</t>
  </si>
  <si>
    <t>U001</t>
  </si>
  <si>
    <t>T014</t>
  </si>
  <si>
    <t>T013</t>
  </si>
  <si>
    <t>T012</t>
  </si>
  <si>
    <t>T011</t>
  </si>
  <si>
    <t>Beta Stores</t>
  </si>
  <si>
    <t>T010</t>
  </si>
  <si>
    <t>T009</t>
  </si>
  <si>
    <t>T008</t>
  </si>
  <si>
    <t>T007</t>
  </si>
  <si>
    <t>T006</t>
  </si>
  <si>
    <t>T005</t>
  </si>
  <si>
    <t>T004</t>
  </si>
  <si>
    <t>T003</t>
  </si>
  <si>
    <t>T002</t>
  </si>
  <si>
    <t>T001</t>
  </si>
  <si>
    <t>payment_method</t>
  </si>
  <si>
    <t>user_id</t>
  </si>
  <si>
    <t>gateway_region</t>
  </si>
  <si>
    <t>risk_score</t>
  </si>
  <si>
    <t>status</t>
  </si>
  <si>
    <t>currency</t>
  </si>
  <si>
    <t>raw_amount</t>
  </si>
  <si>
    <t>merchant_name</t>
  </si>
  <si>
    <t>transaction_date</t>
  </si>
  <si>
    <t>transaction_id</t>
  </si>
  <si>
    <t>Home</t>
  </si>
  <si>
    <t>Nina Weber</t>
  </si>
  <si>
    <t>M005</t>
  </si>
  <si>
    <t>Travel</t>
  </si>
  <si>
    <t>Marcus Lee</t>
  </si>
  <si>
    <t>M004</t>
  </si>
  <si>
    <t>Healthcare</t>
  </si>
  <si>
    <t>Elena Rossi</t>
  </si>
  <si>
    <t>M003</t>
  </si>
  <si>
    <t>Electronics</t>
  </si>
  <si>
    <t>Rohan Mehta</t>
  </si>
  <si>
    <t>M002</t>
  </si>
  <si>
    <t>Grocery</t>
  </si>
  <si>
    <t>Aisha Khan</t>
  </si>
  <si>
    <t>M001</t>
  </si>
  <si>
    <t>default_region</t>
  </si>
  <si>
    <t>merchant_category</t>
  </si>
  <si>
    <t>account_manager</t>
  </si>
  <si>
    <t>merchant_id</t>
  </si>
  <si>
    <t>usd_rate</t>
  </si>
  <si>
    <t>rate_date</t>
  </si>
  <si>
    <t>Captured</t>
  </si>
  <si>
    <t>Chargeback</t>
  </si>
  <si>
    <t>high_value</t>
  </si>
  <si>
    <t>high_risk</t>
  </si>
  <si>
    <t>Row Labels</t>
  </si>
  <si>
    <t>Grand Total</t>
  </si>
  <si>
    <t>Average of risk_score</t>
  </si>
  <si>
    <t>amount_usd</t>
  </si>
  <si>
    <t>Count of high_value</t>
  </si>
  <si>
    <t>Count of high_risk</t>
  </si>
  <si>
    <t>Sum of amount_usd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</si>
</sst>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(* #,##0.00_);_(* \(#,##0.00\);_(* &quot;-&quot;??_);_(@_)"/>
    <numFmt numFmtId="164" formatCode="dd/mm/yyyy"/>
    <numFmt numFmtId="165" formatCode="_(* #,##0_);_(* \(#,##0\);_(* &quot;-&quot;??_);_(@_)"/>
    <numFmt numFmtId="166" formatCode="0.0000"/>
    <numFmt numFmtId="167" formatCode="_(* #,##0.0000_);_(* \(#,##0.000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164" fontId="0" fillId="0" borderId="0" xfId="0" applyNumberFormat="1"/>
    <xf numFmtId="165" fontId="0" fillId="0" borderId="0" xfId="1" applyNumberFormat="1" applyFont="1"/>
    <xf numFmtId="0" fontId="2" fillId="0" borderId="0" xfId="0" applyFont="1"/>
    <xf numFmtId="166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5" fontId="0" fillId="0" borderId="0" xfId="0" applyNumberFormat="1"/>
    <xf numFmtId="167" fontId="0" fillId="0" borderId="0" xfId="1" applyNumberFormat="1" applyFont="1"/>
  </cellXfs>
  <cellStyles count="2">
    <cellStyle name="Comma" xfId="1" builtinId="3"/>
    <cellStyle name="Normal" xfId="0" builtinId="0"/>
  </cellStyles>
  <dxfs count="4"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Sadhitra" refreshedDate="46147.997444444445" createdVersion="5" refreshedVersion="5" minRefreshableVersion="3" recordCount="30">
  <cacheSource type="worksheet">
    <worksheetSource ref="A1:Q31" sheet="transactions"/>
  </cacheSource>
  <cacheFields count="17">
    <cacheField name="transaction_id" numFmtId="0">
      <sharedItems/>
    </cacheField>
    <cacheField name="transaction_date" numFmtId="164">
      <sharedItems containsSemiMixedTypes="0" containsNonDate="0" containsDate="1" containsString="0" minDate="2026-03-01T00:00:00" maxDate="2026-03-07T00:00:00" count="6">
        <d v="2026-03-01T00:00:00"/>
        <d v="2026-03-02T00:00:00"/>
        <d v="2026-03-03T00:00:00"/>
        <d v="2026-03-04T00:00:00"/>
        <d v="2026-03-05T00:00:00"/>
        <d v="2026-03-06T00:00:00"/>
      </sharedItems>
    </cacheField>
    <cacheField name="merchant_name" numFmtId="0">
      <sharedItems count="5">
        <s v="Alpha Mart"/>
        <s v="Beta Stores"/>
        <s v="City Pharma"/>
        <s v="Eco Home"/>
        <s v="Delta Travels"/>
      </sharedItems>
    </cacheField>
    <cacheField name="currency" numFmtId="0">
      <sharedItems/>
    </cacheField>
    <cacheField name="raw_amount" numFmtId="165">
      <sharedItems containsSemiMixedTypes="0" containsString="0" containsNumber="1" containsInteger="1" minValue="1800" maxValue="610000"/>
    </cacheField>
    <cacheField name="amount_usd" numFmtId="165">
      <sharedItems containsSemiMixedTypes="0" containsString="0" containsNumber="1" minValue="1512.5" maxValue="7381"/>
    </cacheField>
    <cacheField name="status" numFmtId="0">
      <sharedItems/>
    </cacheField>
    <cacheField name="risk_score" numFmtId="0">
      <sharedItems containsString="0" containsBlank="1" containsNumber="1" containsInteger="1" minValue="38" maxValue="86"/>
    </cacheField>
    <cacheField name="gateway_region" numFmtId="0">
      <sharedItems count="3">
        <s v="APAC"/>
        <s v="EU"/>
        <s v="US"/>
      </sharedItems>
    </cacheField>
    <cacheField name="user_id" numFmtId="0">
      <sharedItems/>
    </cacheField>
    <cacheField name="payment_method" numFmtId="0">
      <sharedItems count="4">
        <s v="UPI"/>
        <s v="Card"/>
        <s v="NetBanking"/>
        <s v="Wallet"/>
      </sharedItems>
    </cacheField>
    <cacheField name="merchant_id" numFmtId="0">
      <sharedItems/>
    </cacheField>
    <cacheField name="account_manager" numFmtId="0">
      <sharedItems/>
    </cacheField>
    <cacheField name="merchant_category" numFmtId="0">
      <sharedItems/>
    </cacheField>
    <cacheField name="usd_rate" numFmtId="166">
      <sharedItems containsSemiMixedTypes="0" containsString="0" containsNumber="1" minValue="1.18E-2" maxValue="1.0900000000000001"/>
    </cacheField>
    <cacheField name="high_value" numFmtId="0">
      <sharedItems containsSemiMixedTypes="0" containsString="0" containsNumber="1" containsInteger="1" minValue="0" maxValue="1"/>
    </cacheField>
    <cacheField name="high_risk" numFmtId="0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">
  <r>
    <s v="T001"/>
    <x v="0"/>
    <x v="0"/>
    <s v="INR"/>
    <n v="420000"/>
    <n v="4998"/>
    <s v="Captured"/>
    <n v="62"/>
    <x v="0"/>
    <s v="U001"/>
    <x v="0"/>
    <s v="M001"/>
    <s v="Aisha Khan"/>
    <s v="Grocery"/>
    <n v="1.1900000000000001E-2"/>
    <n v="1"/>
    <n v="1"/>
  </r>
  <r>
    <s v="T002"/>
    <x v="0"/>
    <x v="0"/>
    <s v="INR"/>
    <n v="210000"/>
    <n v="2499"/>
    <s v="Captured"/>
    <n v="55"/>
    <x v="0"/>
    <s v="U002"/>
    <x v="1"/>
    <s v="M001"/>
    <s v="Aisha Khan"/>
    <s v="Grocery"/>
    <n v="1.1900000000000001E-2"/>
    <n v="0"/>
    <n v="0"/>
  </r>
  <r>
    <s v="T003"/>
    <x v="0"/>
    <x v="1"/>
    <s v="INR"/>
    <n v="510000"/>
    <n v="6069"/>
    <s v="Captured"/>
    <n v="71"/>
    <x v="0"/>
    <s v="U003"/>
    <x v="2"/>
    <s v="M002"/>
    <s v="Rohan Mehta"/>
    <s v="Electronics"/>
    <n v="1.1900000000000001E-2"/>
    <n v="0"/>
    <n v="0"/>
  </r>
  <r>
    <s v="T004"/>
    <x v="1"/>
    <x v="1"/>
    <s v="INR"/>
    <n v="160000"/>
    <n v="1920"/>
    <s v="Failed E05 Timeout"/>
    <n v="68"/>
    <x v="0"/>
    <s v="U004"/>
    <x v="1"/>
    <s v="M002"/>
    <s v="Rohan Mehta"/>
    <s v="Electronics"/>
    <n v="1.2E-2"/>
    <n v="1"/>
    <n v="1"/>
  </r>
  <r>
    <s v="T005"/>
    <x v="1"/>
    <x v="0"/>
    <s v="INR"/>
    <n v="390000"/>
    <n v="4680"/>
    <s v="Captured"/>
    <n v="58"/>
    <x v="0"/>
    <s v="U001"/>
    <x v="0"/>
    <s v="M001"/>
    <s v="Aisha Khan"/>
    <s v="Grocery"/>
    <n v="1.2E-2"/>
    <n v="0"/>
    <n v="0"/>
  </r>
  <r>
    <s v="T006"/>
    <x v="1"/>
    <x v="1"/>
    <s v="INR"/>
    <n v="275000"/>
    <n v="3300"/>
    <s v="Captured"/>
    <n v="64"/>
    <x v="0"/>
    <s v="U005"/>
    <x v="3"/>
    <s v="M002"/>
    <s v="Rohan Mehta"/>
    <s v="Electronics"/>
    <n v="1.2E-2"/>
    <n v="0"/>
    <n v="0"/>
  </r>
  <r>
    <s v="T007"/>
    <x v="1"/>
    <x v="0"/>
    <s v="INR"/>
    <n v="450000"/>
    <n v="5400"/>
    <s v="Chargeback"/>
    <n v="83"/>
    <x v="0"/>
    <s v="U006"/>
    <x v="1"/>
    <s v="M001"/>
    <s v="Aisha Khan"/>
    <s v="Grocery"/>
    <n v="1.2E-2"/>
    <n v="0"/>
    <n v="0"/>
  </r>
  <r>
    <s v="T008"/>
    <x v="2"/>
    <x v="1"/>
    <s v="INR"/>
    <n v="340000"/>
    <n v="4114"/>
    <s v="Captured"/>
    <n v="59"/>
    <x v="0"/>
    <s v="U007"/>
    <x v="0"/>
    <s v="M002"/>
    <s v="Rohan Mehta"/>
    <s v="Electronics"/>
    <n v="1.21E-2"/>
    <n v="1"/>
    <n v="1"/>
  </r>
  <r>
    <s v="T009"/>
    <x v="2"/>
    <x v="0"/>
    <s v="INR"/>
    <n v="125000"/>
    <n v="1512.5"/>
    <s v="Captured"/>
    <n v="46"/>
    <x v="0"/>
    <s v="U002"/>
    <x v="3"/>
    <s v="M001"/>
    <s v="Aisha Khan"/>
    <s v="Grocery"/>
    <n v="1.21E-2"/>
    <n v="0"/>
    <n v="0"/>
  </r>
  <r>
    <s v="T010"/>
    <x v="2"/>
    <x v="1"/>
    <s v="INR"/>
    <n v="610000"/>
    <n v="7381"/>
    <s v="Captured"/>
    <n v="77"/>
    <x v="0"/>
    <s v="U003"/>
    <x v="1"/>
    <s v="M002"/>
    <s v="Rohan Mehta"/>
    <s v="Electronics"/>
    <n v="1.21E-2"/>
    <n v="0"/>
    <n v="0"/>
  </r>
  <r>
    <s v="T011"/>
    <x v="2"/>
    <x v="0"/>
    <s v="INR"/>
    <n v="195000"/>
    <n v="2359.5"/>
    <s v="Failed E05 Timeout"/>
    <m/>
    <x v="0"/>
    <s v="U008"/>
    <x v="0"/>
    <s v="M001"/>
    <s v="Aisha Khan"/>
    <s v="Grocery"/>
    <n v="1.21E-2"/>
    <n v="1"/>
    <n v="1"/>
  </r>
  <r>
    <s v="T012"/>
    <x v="3"/>
    <x v="1"/>
    <s v="INR"/>
    <n v="250000"/>
    <n v="3000"/>
    <s v="Captured"/>
    <n v="61"/>
    <x v="0"/>
    <s v="U009"/>
    <x v="1"/>
    <s v="M002"/>
    <s v="Rohan Mehta"/>
    <s v="Electronics"/>
    <n v="1.2E-2"/>
    <n v="0"/>
    <n v="0"/>
  </r>
  <r>
    <s v="T013"/>
    <x v="3"/>
    <x v="0"/>
    <s v="INR"/>
    <n v="310000"/>
    <n v="3720"/>
    <s v="Captured"/>
    <n v="54"/>
    <x v="0"/>
    <s v="U010"/>
    <x v="0"/>
    <s v="M001"/>
    <s v="Aisha Khan"/>
    <s v="Grocery"/>
    <n v="1.2E-2"/>
    <n v="0"/>
    <n v="0"/>
  </r>
  <r>
    <s v="T014"/>
    <x v="3"/>
    <x v="1"/>
    <s v="INR"/>
    <n v="470000"/>
    <n v="5640"/>
    <s v="Captured"/>
    <n v="73"/>
    <x v="0"/>
    <s v="U001"/>
    <x v="2"/>
    <s v="M002"/>
    <s v="Rohan Mehta"/>
    <s v="Electronics"/>
    <n v="1.2E-2"/>
    <n v="0"/>
    <n v="0"/>
  </r>
  <r>
    <s v="T015"/>
    <x v="3"/>
    <x v="0"/>
    <s v="INR"/>
    <n v="130000"/>
    <n v="1560"/>
    <s v="Captured"/>
    <n v="52"/>
    <x v="0"/>
    <s v="U002"/>
    <x v="1"/>
    <s v="M001"/>
    <s v="Aisha Khan"/>
    <s v="Grocery"/>
    <n v="1.2E-2"/>
    <n v="1"/>
    <n v="1"/>
  </r>
  <r>
    <s v="T016"/>
    <x v="4"/>
    <x v="1"/>
    <s v="INR"/>
    <n v="220000"/>
    <n v="2596"/>
    <s v="Failed E05 Timeout"/>
    <n v="69"/>
    <x v="0"/>
    <s v="U008"/>
    <x v="1"/>
    <s v="M002"/>
    <s v="Rohan Mehta"/>
    <s v="Electronics"/>
    <n v="1.18E-2"/>
    <n v="0"/>
    <n v="0"/>
  </r>
  <r>
    <s v="T017"/>
    <x v="4"/>
    <x v="1"/>
    <s v="INR"/>
    <n v="180000"/>
    <n v="2124"/>
    <s v="Failed E05 Timeout"/>
    <n v="72"/>
    <x v="0"/>
    <s v="U008"/>
    <x v="1"/>
    <s v="M002"/>
    <s v="Rohan Mehta"/>
    <s v="Electronics"/>
    <n v="1.18E-2"/>
    <n v="0"/>
    <n v="0"/>
  </r>
  <r>
    <s v="T018"/>
    <x v="4"/>
    <x v="1"/>
    <s v="INR"/>
    <n v="145000"/>
    <n v="1711"/>
    <s v="Chargeback"/>
    <n v="86"/>
    <x v="0"/>
    <s v="U008"/>
    <x v="0"/>
    <s v="M002"/>
    <s v="Rohan Mehta"/>
    <s v="Electronics"/>
    <n v="1.18E-2"/>
    <n v="0"/>
    <n v="1"/>
  </r>
  <r>
    <s v="T019"/>
    <x v="4"/>
    <x v="0"/>
    <s v="INR"/>
    <n v="260000"/>
    <n v="3068"/>
    <s v="Failed E05 Timeout"/>
    <n v="67"/>
    <x v="0"/>
    <s v="U008"/>
    <x v="3"/>
    <s v="M001"/>
    <s v="Aisha Khan"/>
    <s v="Grocery"/>
    <n v="1.18E-2"/>
    <n v="0"/>
    <n v="1"/>
  </r>
  <r>
    <s v="T020"/>
    <x v="4"/>
    <x v="0"/>
    <s v="INR"/>
    <n v="520000"/>
    <n v="6136"/>
    <s v="Captured"/>
    <n v="75"/>
    <x v="0"/>
    <s v="U005"/>
    <x v="0"/>
    <s v="M001"/>
    <s v="Aisha Khan"/>
    <s v="Grocery"/>
    <n v="1.18E-2"/>
    <n v="0"/>
    <n v="0"/>
  </r>
  <r>
    <s v="T021"/>
    <x v="5"/>
    <x v="1"/>
    <s v="INR"/>
    <n v="330000"/>
    <n v="3927.0000000000005"/>
    <s v="Captured"/>
    <n v="63"/>
    <x v="0"/>
    <s v="U006"/>
    <x v="1"/>
    <s v="M002"/>
    <s v="Rohan Mehta"/>
    <s v="Electronics"/>
    <n v="1.1900000000000001E-2"/>
    <n v="1"/>
    <n v="1"/>
  </r>
  <r>
    <s v="T022"/>
    <x v="5"/>
    <x v="0"/>
    <s v="INR"/>
    <n v="410000"/>
    <n v="4879"/>
    <s v="Captured"/>
    <n v="60"/>
    <x v="0"/>
    <s v="U007"/>
    <x v="0"/>
    <s v="M001"/>
    <s v="Aisha Khan"/>
    <s v="Grocery"/>
    <n v="1.1900000000000001E-2"/>
    <n v="0"/>
    <n v="0"/>
  </r>
  <r>
    <s v="T023"/>
    <x v="0"/>
    <x v="2"/>
    <s v="EUR"/>
    <n v="5200"/>
    <n v="5616"/>
    <s v="Captured"/>
    <n v="42"/>
    <x v="1"/>
    <s v="U003"/>
    <x v="1"/>
    <s v="M003"/>
    <s v="Elena Rossi"/>
    <s v="Healthcare"/>
    <n v="1.08"/>
    <n v="0"/>
    <n v="0"/>
  </r>
  <r>
    <s v="T024"/>
    <x v="1"/>
    <x v="3"/>
    <s v="EUR"/>
    <n v="6100"/>
    <n v="6649.0000000000009"/>
    <s v="Chargeback"/>
    <n v="65"/>
    <x v="1"/>
    <s v="U004"/>
    <x v="1"/>
    <s v="M005"/>
    <s v="Nina Weber"/>
    <s v="Home"/>
    <n v="1.0900000000000001"/>
    <n v="0"/>
    <n v="0"/>
  </r>
  <r>
    <s v="T025"/>
    <x v="2"/>
    <x v="2"/>
    <s v="EUR"/>
    <n v="2800"/>
    <n v="3024"/>
    <s v="Captured"/>
    <n v="38"/>
    <x v="1"/>
    <s v="U005"/>
    <x v="3"/>
    <s v="M003"/>
    <s v="Elena Rossi"/>
    <s v="Healthcare"/>
    <n v="1.08"/>
    <n v="1"/>
    <n v="0"/>
  </r>
  <r>
    <s v="T026"/>
    <x v="4"/>
    <x v="3"/>
    <s v="EUR"/>
    <n v="3300"/>
    <n v="3597.0000000000005"/>
    <s v="Failed E05 Timeout"/>
    <n v="44"/>
    <x v="1"/>
    <s v="U006"/>
    <x v="2"/>
    <s v="M005"/>
    <s v="Nina Weber"/>
    <s v="Home"/>
    <n v="1.0900000000000001"/>
    <n v="0"/>
    <n v="0"/>
  </r>
  <r>
    <s v="T027"/>
    <x v="0"/>
    <x v="4"/>
    <s v="USD"/>
    <n v="7200"/>
    <n v="7200"/>
    <s v="Captured"/>
    <n v="49"/>
    <x v="2"/>
    <s v="U007"/>
    <x v="1"/>
    <s v="M004"/>
    <s v="Marcus Lee"/>
    <s v="Travel"/>
    <n v="1"/>
    <n v="0"/>
    <n v="0"/>
  </r>
  <r>
    <s v="T028"/>
    <x v="1"/>
    <x v="4"/>
    <s v="USD"/>
    <n v="3100"/>
    <n v="3100"/>
    <s v="Captured"/>
    <n v="41"/>
    <x v="2"/>
    <s v="U008"/>
    <x v="1"/>
    <s v="M004"/>
    <s v="Marcus Lee"/>
    <s v="Travel"/>
    <n v="1"/>
    <n v="1"/>
    <n v="0"/>
  </r>
  <r>
    <s v="T029"/>
    <x v="3"/>
    <x v="4"/>
    <s v="USD"/>
    <n v="2500"/>
    <n v="2500"/>
    <s v="Chargeback"/>
    <n v="58"/>
    <x v="2"/>
    <s v="U009"/>
    <x v="3"/>
    <s v="M004"/>
    <s v="Marcus Lee"/>
    <s v="Travel"/>
    <n v="1"/>
    <n v="0"/>
    <n v="0"/>
  </r>
  <r>
    <s v="T030"/>
    <x v="5"/>
    <x v="4"/>
    <s v="USD"/>
    <n v="1800"/>
    <n v="1800"/>
    <s v="Failed E05 Timeout"/>
    <n v="47"/>
    <x v="2"/>
    <s v="U010"/>
    <x v="0"/>
    <s v="M004"/>
    <s v="Marcus Lee"/>
    <s v="Travel"/>
    <n v="1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E14" firstHeaderRow="0" firstDataRow="1" firstDataCol="1"/>
  <pivotFields count="17">
    <pivotField showAll="0"/>
    <pivotField axis="axisRow" numFmtId="164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6">
        <item x="0"/>
        <item x="1"/>
        <item x="2"/>
        <item x="4"/>
        <item x="3"/>
        <item t="default"/>
      </items>
    </pivotField>
    <pivotField showAll="0"/>
    <pivotField numFmtId="165" showAll="0"/>
    <pivotField dataField="1" numFmtId="165" showAll="0"/>
    <pivotField showAll="0"/>
    <pivotField dataField="1" showAll="0"/>
    <pivotField axis="axisRow" showAll="0">
      <items count="4">
        <item sd="0" x="0"/>
        <item sd="0" x="1"/>
        <item sd="0" x="2"/>
        <item t="default"/>
      </items>
    </pivotField>
    <pivotField showAll="0"/>
    <pivotField showAll="0"/>
    <pivotField showAll="0"/>
    <pivotField showAll="0"/>
    <pivotField showAll="0"/>
    <pivotField numFmtId="166" showAll="0"/>
    <pivotField dataField="1" showAll="0"/>
    <pivotField dataField="1" showAll="0"/>
  </pivotFields>
  <rowFields count="3">
    <field x="2"/>
    <field x="8"/>
    <field x="1"/>
  </rowFields>
  <rowItems count="11">
    <i>
      <x/>
    </i>
    <i r="1">
      <x/>
    </i>
    <i>
      <x v="1"/>
    </i>
    <i r="1">
      <x/>
    </i>
    <i>
      <x v="2"/>
    </i>
    <i r="1">
      <x v="1"/>
    </i>
    <i>
      <x v="3"/>
    </i>
    <i r="1">
      <x v="2"/>
    </i>
    <i>
      <x v="4"/>
    </i>
    <i r="1"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risk_score" fld="7" subtotal="average" baseField="2" baseItem="0" numFmtId="165"/>
    <dataField name="Count of high_risk" fld="16" subtotal="count" baseField="2" baseItem="0"/>
    <dataField name="Count of high_value" fld="15" subtotal="count" baseField="2" baseItem="0"/>
    <dataField name="Sum of amount_usd" fld="5" baseField="0" baseItem="0"/>
  </dataFields>
  <formats count="2">
    <format dxfId="3">
      <pivotArea outline="0" collapsedLevelsAreSubtotals="1" fieldPosition="0"/>
    </format>
    <format dxfId="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1" cacheId="4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22" firstHeaderRow="1" firstDataRow="1" firstDataCol="1"/>
  <pivotFields count="17">
    <pivotField showAll="0"/>
    <pivotField numFmtId="164" showAll="0"/>
    <pivotField axis="axisRow" showAll="0">
      <items count="6">
        <item x="0"/>
        <item x="1"/>
        <item x="2"/>
        <item x="4"/>
        <item x="3"/>
        <item t="default"/>
      </items>
    </pivotField>
    <pivotField showAll="0"/>
    <pivotField numFmtId="165" showAll="0"/>
    <pivotField dataField="1" numFmtId="165"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numFmtId="166" showAll="0"/>
    <pivotField showAll="0"/>
    <pivotField showAll="0"/>
  </pivotFields>
  <rowFields count="2">
    <field x="10"/>
    <field x="2"/>
  </rowFields>
  <rowItems count="19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 v="1"/>
    </i>
    <i r="1">
      <x v="4"/>
    </i>
    <i>
      <x v="2"/>
    </i>
    <i r="1">
      <x/>
    </i>
    <i r="1">
      <x v="1"/>
    </i>
    <i r="1">
      <x v="3"/>
    </i>
    <i>
      <x v="3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amount_usd" fld="5" baseField="0" baseItem="0" numFmtId="165"/>
  </dataFields>
  <formats count="2">
    <format dxfId="1">
      <pivotArea outline="0" collapsedLevelsAreSubtotals="1" fieldPosition="0"/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E34"/>
  <sheetViews>
    <sheetView tabSelected="1" workbookViewId="0">
      <selection activeCell="E6" sqref="E6"/>
    </sheetView>
  </sheetViews>
  <sheetFormatPr defaultRowHeight="15" x14ac:dyDescent="0.25"/>
  <cols>
    <col min="1" max="1" width="14.28515625" customWidth="1"/>
    <col min="2" max="2" width="20.140625" style="2" bestFit="1" customWidth="1"/>
    <col min="3" max="3" width="17.28515625" bestFit="1" customWidth="1"/>
    <col min="4" max="4" width="19" bestFit="1" customWidth="1"/>
    <col min="5" max="5" width="18.85546875" bestFit="1" customWidth="1"/>
  </cols>
  <sheetData>
    <row r="3" spans="1:5" x14ac:dyDescent="0.25">
      <c r="A3" s="5" t="s">
        <v>91</v>
      </c>
      <c r="B3" t="s">
        <v>93</v>
      </c>
      <c r="C3" t="s">
        <v>96</v>
      </c>
      <c r="D3" t="s">
        <v>95</v>
      </c>
      <c r="E3" t="s">
        <v>97</v>
      </c>
    </row>
    <row r="4" spans="1:5" x14ac:dyDescent="0.25">
      <c r="A4" s="6" t="s">
        <v>32</v>
      </c>
      <c r="B4" s="8">
        <v>61.2</v>
      </c>
      <c r="C4" s="8">
        <v>11</v>
      </c>
      <c r="D4" s="8">
        <v>11</v>
      </c>
      <c r="E4" s="8">
        <v>40812</v>
      </c>
    </row>
    <row r="5" spans="1:5" x14ac:dyDescent="0.25">
      <c r="A5" s="7" t="s">
        <v>28</v>
      </c>
      <c r="B5" s="8">
        <v>61.2</v>
      </c>
      <c r="C5" s="8">
        <v>11</v>
      </c>
      <c r="D5" s="8">
        <v>11</v>
      </c>
      <c r="E5" s="8">
        <v>40812</v>
      </c>
    </row>
    <row r="6" spans="1:5" x14ac:dyDescent="0.25">
      <c r="A6" s="6" t="s">
        <v>45</v>
      </c>
      <c r="B6" s="8">
        <v>69.36363636363636</v>
      </c>
      <c r="C6" s="8">
        <v>11</v>
      </c>
      <c r="D6" s="8">
        <v>11</v>
      </c>
      <c r="E6" s="8">
        <v>41782</v>
      </c>
    </row>
    <row r="7" spans="1:5" x14ac:dyDescent="0.25">
      <c r="A7" s="7" t="s">
        <v>28</v>
      </c>
      <c r="B7" s="8">
        <v>69.36363636363636</v>
      </c>
      <c r="C7" s="8">
        <v>11</v>
      </c>
      <c r="D7" s="8">
        <v>11</v>
      </c>
      <c r="E7" s="8">
        <v>41782</v>
      </c>
    </row>
    <row r="8" spans="1:5" x14ac:dyDescent="0.25">
      <c r="A8" s="6" t="s">
        <v>21</v>
      </c>
      <c r="B8" s="8">
        <v>40</v>
      </c>
      <c r="C8" s="8">
        <v>2</v>
      </c>
      <c r="D8" s="8">
        <v>2</v>
      </c>
      <c r="E8" s="8">
        <v>8640</v>
      </c>
    </row>
    <row r="9" spans="1:5" x14ac:dyDescent="0.25">
      <c r="A9" s="7" t="s">
        <v>24</v>
      </c>
      <c r="B9" s="8">
        <v>40</v>
      </c>
      <c r="C9" s="8">
        <v>2</v>
      </c>
      <c r="D9" s="8">
        <v>2</v>
      </c>
      <c r="E9" s="8">
        <v>8640</v>
      </c>
    </row>
    <row r="10" spans="1:5" x14ac:dyDescent="0.25">
      <c r="A10" s="6" t="s">
        <v>11</v>
      </c>
      <c r="B10" s="8">
        <v>48.75</v>
      </c>
      <c r="C10" s="8">
        <v>4</v>
      </c>
      <c r="D10" s="8">
        <v>4</v>
      </c>
      <c r="E10" s="8">
        <v>14600</v>
      </c>
    </row>
    <row r="11" spans="1:5" x14ac:dyDescent="0.25">
      <c r="A11" s="7" t="s">
        <v>2</v>
      </c>
      <c r="B11" s="8">
        <v>48.75</v>
      </c>
      <c r="C11" s="8">
        <v>4</v>
      </c>
      <c r="D11" s="8">
        <v>4</v>
      </c>
      <c r="E11" s="8">
        <v>14600</v>
      </c>
    </row>
    <row r="12" spans="1:5" x14ac:dyDescent="0.25">
      <c r="A12" s="6" t="s">
        <v>18</v>
      </c>
      <c r="B12" s="8">
        <v>54.5</v>
      </c>
      <c r="C12" s="8">
        <v>2</v>
      </c>
      <c r="D12" s="8">
        <v>2</v>
      </c>
      <c r="E12" s="8">
        <v>10246.000000000002</v>
      </c>
    </row>
    <row r="13" spans="1:5" x14ac:dyDescent="0.25">
      <c r="A13" s="7" t="s">
        <v>24</v>
      </c>
      <c r="B13" s="8">
        <v>54.5</v>
      </c>
      <c r="C13" s="8">
        <v>2</v>
      </c>
      <c r="D13" s="8">
        <v>2</v>
      </c>
      <c r="E13" s="8">
        <v>10246.000000000002</v>
      </c>
    </row>
    <row r="14" spans="1:5" x14ac:dyDescent="0.25">
      <c r="A14" s="6" t="s">
        <v>92</v>
      </c>
      <c r="B14" s="8">
        <v>60.655172413793103</v>
      </c>
      <c r="C14" s="8">
        <v>30</v>
      </c>
      <c r="D14" s="8">
        <v>30</v>
      </c>
      <c r="E14" s="8">
        <v>116080</v>
      </c>
    </row>
    <row r="15" spans="1:5" x14ac:dyDescent="0.25">
      <c r="B15"/>
    </row>
    <row r="16" spans="1:5" x14ac:dyDescent="0.25">
      <c r="B16"/>
    </row>
    <row r="17" spans="2:2" x14ac:dyDescent="0.25">
      <c r="B17"/>
    </row>
    <row r="18" spans="2:2" x14ac:dyDescent="0.25">
      <c r="B18"/>
    </row>
    <row r="19" spans="2:2" x14ac:dyDescent="0.25">
      <c r="B19"/>
    </row>
    <row r="20" spans="2:2" x14ac:dyDescent="0.25">
      <c r="B20"/>
    </row>
    <row r="21" spans="2:2" x14ac:dyDescent="0.25">
      <c r="B21"/>
    </row>
    <row r="22" spans="2:2" x14ac:dyDescent="0.25">
      <c r="B22"/>
    </row>
    <row r="23" spans="2:2" x14ac:dyDescent="0.25">
      <c r="B23"/>
    </row>
    <row r="24" spans="2:2" x14ac:dyDescent="0.25">
      <c r="B24"/>
    </row>
    <row r="25" spans="2:2" x14ac:dyDescent="0.25">
      <c r="B25"/>
    </row>
    <row r="26" spans="2:2" x14ac:dyDescent="0.25">
      <c r="B26"/>
    </row>
    <row r="27" spans="2:2" x14ac:dyDescent="0.25">
      <c r="B27"/>
    </row>
    <row r="28" spans="2:2" x14ac:dyDescent="0.25">
      <c r="B28"/>
    </row>
    <row r="29" spans="2:2" x14ac:dyDescent="0.25">
      <c r="B29"/>
    </row>
    <row r="30" spans="2:2" x14ac:dyDescent="0.25">
      <c r="B30"/>
    </row>
    <row r="31" spans="2:2" x14ac:dyDescent="0.25">
      <c r="B31"/>
    </row>
    <row r="32" spans="2:2" x14ac:dyDescent="0.25">
      <c r="B32"/>
    </row>
    <row r="33" spans="2:2" x14ac:dyDescent="0.25">
      <c r="B33"/>
    </row>
    <row r="34" spans="2:2" x14ac:dyDescent="0.25">
      <c r="B3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22"/>
  <sheetViews>
    <sheetView workbookViewId="0">
      <selection activeCell="E20" sqref="E20"/>
    </sheetView>
  </sheetViews>
  <sheetFormatPr defaultRowHeight="15" x14ac:dyDescent="0.25"/>
  <cols>
    <col min="1" max="1" width="16.28515625" bestFit="1" customWidth="1"/>
    <col min="2" max="2" width="18.85546875" style="2" bestFit="1" customWidth="1"/>
  </cols>
  <sheetData>
    <row r="3" spans="1:2" x14ac:dyDescent="0.25">
      <c r="A3" s="5" t="s">
        <v>91</v>
      </c>
      <c r="B3" s="2" t="s">
        <v>97</v>
      </c>
    </row>
    <row r="4" spans="1:2" x14ac:dyDescent="0.25">
      <c r="A4" s="6" t="s">
        <v>9</v>
      </c>
      <c r="B4" s="2">
        <v>52972</v>
      </c>
    </row>
    <row r="5" spans="1:2" x14ac:dyDescent="0.25">
      <c r="A5" s="7" t="s">
        <v>32</v>
      </c>
      <c r="B5" s="2">
        <v>9459</v>
      </c>
    </row>
    <row r="6" spans="1:2" x14ac:dyDescent="0.25">
      <c r="A6" s="7" t="s">
        <v>45</v>
      </c>
      <c r="B6" s="2">
        <v>20948</v>
      </c>
    </row>
    <row r="7" spans="1:2" x14ac:dyDescent="0.25">
      <c r="A7" s="7" t="s">
        <v>21</v>
      </c>
      <c r="B7" s="2">
        <v>5616</v>
      </c>
    </row>
    <row r="8" spans="1:2" x14ac:dyDescent="0.25">
      <c r="A8" s="7" t="s">
        <v>11</v>
      </c>
      <c r="B8" s="2">
        <v>10300</v>
      </c>
    </row>
    <row r="9" spans="1:2" x14ac:dyDescent="0.25">
      <c r="A9" s="7" t="s">
        <v>18</v>
      </c>
      <c r="B9" s="2">
        <v>6649.0000000000009</v>
      </c>
    </row>
    <row r="10" spans="1:2" x14ac:dyDescent="0.25">
      <c r="A10" s="6" t="s">
        <v>15</v>
      </c>
      <c r="B10" s="2">
        <v>15306</v>
      </c>
    </row>
    <row r="11" spans="1:2" x14ac:dyDescent="0.25">
      <c r="A11" s="7" t="s">
        <v>45</v>
      </c>
      <c r="B11" s="2">
        <v>11709</v>
      </c>
    </row>
    <row r="12" spans="1:2" x14ac:dyDescent="0.25">
      <c r="A12" s="7" t="s">
        <v>18</v>
      </c>
      <c r="B12" s="2">
        <v>3597.0000000000005</v>
      </c>
    </row>
    <row r="13" spans="1:2" x14ac:dyDescent="0.25">
      <c r="A13" s="6" t="s">
        <v>0</v>
      </c>
      <c r="B13" s="2">
        <v>34397.5</v>
      </c>
    </row>
    <row r="14" spans="1:2" x14ac:dyDescent="0.25">
      <c r="A14" s="7" t="s">
        <v>32</v>
      </c>
      <c r="B14" s="2">
        <v>26772.5</v>
      </c>
    </row>
    <row r="15" spans="1:2" x14ac:dyDescent="0.25">
      <c r="A15" s="7" t="s">
        <v>45</v>
      </c>
      <c r="B15" s="2">
        <v>5825</v>
      </c>
    </row>
    <row r="16" spans="1:2" x14ac:dyDescent="0.25">
      <c r="A16" s="7" t="s">
        <v>11</v>
      </c>
      <c r="B16" s="2">
        <v>1800</v>
      </c>
    </row>
    <row r="17" spans="1:2" x14ac:dyDescent="0.25">
      <c r="A17" s="6" t="s">
        <v>6</v>
      </c>
      <c r="B17" s="2">
        <v>13404.5</v>
      </c>
    </row>
    <row r="18" spans="1:2" x14ac:dyDescent="0.25">
      <c r="A18" s="7" t="s">
        <v>32</v>
      </c>
      <c r="B18" s="2">
        <v>4580.5</v>
      </c>
    </row>
    <row r="19" spans="1:2" x14ac:dyDescent="0.25">
      <c r="A19" s="7" t="s">
        <v>45</v>
      </c>
      <c r="B19" s="2">
        <v>3300</v>
      </c>
    </row>
    <row r="20" spans="1:2" x14ac:dyDescent="0.25">
      <c r="A20" s="7" t="s">
        <v>21</v>
      </c>
      <c r="B20" s="2">
        <v>3024</v>
      </c>
    </row>
    <row r="21" spans="1:2" x14ac:dyDescent="0.25">
      <c r="A21" s="7" t="s">
        <v>11</v>
      </c>
      <c r="B21" s="2">
        <v>2500</v>
      </c>
    </row>
    <row r="22" spans="1:2" x14ac:dyDescent="0.25">
      <c r="A22" s="6" t="s">
        <v>92</v>
      </c>
      <c r="B22" s="2">
        <v>116080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1"/>
  <sheetViews>
    <sheetView workbookViewId="0">
      <selection activeCell="D18" sqref="A1:Q31"/>
    </sheetView>
  </sheetViews>
  <sheetFormatPr defaultRowHeight="15" x14ac:dyDescent="0.25"/>
  <cols>
    <col min="1" max="6" width="15.7109375" customWidth="1"/>
    <col min="7" max="7" width="18" bestFit="1" customWidth="1"/>
    <col min="8" max="12" width="15.7109375" customWidth="1"/>
    <col min="13" max="13" width="16.7109375" bestFit="1" customWidth="1"/>
    <col min="14" max="14" width="18" bestFit="1" customWidth="1"/>
  </cols>
  <sheetData>
    <row r="1" spans="1:17" x14ac:dyDescent="0.25">
      <c r="A1" s="3" t="s">
        <v>65</v>
      </c>
      <c r="B1" s="3" t="s">
        <v>64</v>
      </c>
      <c r="C1" s="3" t="s">
        <v>63</v>
      </c>
      <c r="D1" s="3" t="s">
        <v>61</v>
      </c>
      <c r="E1" s="3" t="s">
        <v>62</v>
      </c>
      <c r="F1" s="3" t="s">
        <v>94</v>
      </c>
      <c r="G1" s="3" t="s">
        <v>60</v>
      </c>
      <c r="H1" s="3" t="s">
        <v>59</v>
      </c>
      <c r="I1" s="3" t="s">
        <v>58</v>
      </c>
      <c r="J1" s="3" t="s">
        <v>57</v>
      </c>
      <c r="K1" s="3" t="s">
        <v>56</v>
      </c>
      <c r="L1" s="3" t="s">
        <v>84</v>
      </c>
      <c r="M1" s="3" t="s">
        <v>83</v>
      </c>
      <c r="N1" s="3" t="s">
        <v>82</v>
      </c>
      <c r="O1" s="3" t="s">
        <v>85</v>
      </c>
      <c r="P1" s="3" t="s">
        <v>89</v>
      </c>
      <c r="Q1" s="3" t="s">
        <v>90</v>
      </c>
    </row>
    <row r="2" spans="1:17" x14ac:dyDescent="0.25">
      <c r="A2" t="s">
        <v>46</v>
      </c>
      <c r="B2" s="1">
        <v>46084</v>
      </c>
      <c r="C2" t="s">
        <v>45</v>
      </c>
      <c r="D2" t="s">
        <v>29</v>
      </c>
      <c r="E2" s="2">
        <v>610000</v>
      </c>
      <c r="F2" s="2">
        <v>7381</v>
      </c>
      <c r="G2" t="s">
        <v>87</v>
      </c>
      <c r="H2">
        <v>77</v>
      </c>
      <c r="I2" t="s">
        <v>28</v>
      </c>
      <c r="J2" t="s">
        <v>26</v>
      </c>
      <c r="K2" t="s">
        <v>9</v>
      </c>
      <c r="L2" t="s">
        <v>77</v>
      </c>
      <c r="M2" t="s">
        <v>76</v>
      </c>
      <c r="N2" t="s">
        <v>75</v>
      </c>
      <c r="O2" s="4">
        <v>1.21E-2</v>
      </c>
      <c r="P2">
        <f t="shared" ref="P2:P31" si="0">IF(OR(AND(I2="APAC", F1 &gt; 5000), AND(I2="EU", F1 &gt; 6000), AND(I2="US", F1 &gt; 7000)), 1, 0)</f>
        <v>1</v>
      </c>
      <c r="Q2">
        <f>IF(OR(H1 &gt;= 70, ISNUMBER(SEARCH("Chargeback", LOWER(status)))), 1, 0)</f>
        <v>1</v>
      </c>
    </row>
    <row r="3" spans="1:17" x14ac:dyDescent="0.25">
      <c r="A3" t="s">
        <v>14</v>
      </c>
      <c r="B3" s="1">
        <v>46082</v>
      </c>
      <c r="C3" t="s">
        <v>11</v>
      </c>
      <c r="D3" t="s">
        <v>4</v>
      </c>
      <c r="E3" s="2">
        <v>7200</v>
      </c>
      <c r="F3" s="2">
        <v>7200</v>
      </c>
      <c r="G3" t="s">
        <v>87</v>
      </c>
      <c r="H3">
        <v>49</v>
      </c>
      <c r="I3" t="s">
        <v>2</v>
      </c>
      <c r="J3" t="s">
        <v>13</v>
      </c>
      <c r="K3" t="s">
        <v>9</v>
      </c>
      <c r="L3" t="s">
        <v>71</v>
      </c>
      <c r="M3" t="s">
        <v>70</v>
      </c>
      <c r="N3" t="s">
        <v>69</v>
      </c>
      <c r="O3" s="4">
        <v>1</v>
      </c>
      <c r="P3">
        <f t="shared" si="0"/>
        <v>1</v>
      </c>
      <c r="Q3">
        <f>IF(OR(H2 &gt;= 70, ISNUMBER(SEARCH("Chargeback", LOWER(status)))), 1, 0)</f>
        <v>1</v>
      </c>
    </row>
    <row r="4" spans="1:17" x14ac:dyDescent="0.25">
      <c r="A4" t="s">
        <v>25</v>
      </c>
      <c r="B4" s="1">
        <v>46083</v>
      </c>
      <c r="C4" t="s">
        <v>18</v>
      </c>
      <c r="D4" t="s">
        <v>17</v>
      </c>
      <c r="E4" s="2">
        <v>6100</v>
      </c>
      <c r="F4" s="2">
        <v>6649.0000000000009</v>
      </c>
      <c r="G4" t="s">
        <v>88</v>
      </c>
      <c r="H4">
        <v>65</v>
      </c>
      <c r="I4" t="s">
        <v>24</v>
      </c>
      <c r="J4" t="s">
        <v>23</v>
      </c>
      <c r="K4" t="s">
        <v>9</v>
      </c>
      <c r="L4" t="s">
        <v>68</v>
      </c>
      <c r="M4" t="s">
        <v>67</v>
      </c>
      <c r="N4" t="s">
        <v>66</v>
      </c>
      <c r="O4" s="4">
        <v>1.0900000000000001</v>
      </c>
      <c r="P4">
        <f t="shared" si="0"/>
        <v>1</v>
      </c>
      <c r="Q4">
        <f>IF(OR(H3 &gt;= 70, ISNUMBER(SEARCH("Chargeback", LOWER(status)))), 1, 0)</f>
        <v>0</v>
      </c>
    </row>
    <row r="5" spans="1:17" x14ac:dyDescent="0.25">
      <c r="A5" t="s">
        <v>33</v>
      </c>
      <c r="B5" s="1">
        <v>46086</v>
      </c>
      <c r="C5" t="s">
        <v>32</v>
      </c>
      <c r="D5" t="s">
        <v>29</v>
      </c>
      <c r="E5" s="2">
        <v>520000</v>
      </c>
      <c r="F5" s="2">
        <v>6136</v>
      </c>
      <c r="G5" t="s">
        <v>87</v>
      </c>
      <c r="H5">
        <v>75</v>
      </c>
      <c r="I5" t="s">
        <v>28</v>
      </c>
      <c r="J5" t="s">
        <v>20</v>
      </c>
      <c r="K5" t="s">
        <v>0</v>
      </c>
      <c r="L5" t="s">
        <v>80</v>
      </c>
      <c r="M5" t="s">
        <v>79</v>
      </c>
      <c r="N5" t="s">
        <v>78</v>
      </c>
      <c r="O5" s="4">
        <v>1.18E-2</v>
      </c>
      <c r="P5">
        <f t="shared" si="0"/>
        <v>1</v>
      </c>
      <c r="Q5">
        <f>IF(OR(H4 &gt;= 70, ISNUMBER(SEARCH("Chargeback", LOWER(status)))), 1, 0)</f>
        <v>0</v>
      </c>
    </row>
    <row r="6" spans="1:17" x14ac:dyDescent="0.25">
      <c r="A6" t="s">
        <v>53</v>
      </c>
      <c r="B6" s="1">
        <v>46082</v>
      </c>
      <c r="C6" t="s">
        <v>45</v>
      </c>
      <c r="D6" t="s">
        <v>29</v>
      </c>
      <c r="E6" s="2">
        <v>510000</v>
      </c>
      <c r="F6" s="2">
        <v>6069</v>
      </c>
      <c r="G6" t="s">
        <v>87</v>
      </c>
      <c r="H6">
        <v>71</v>
      </c>
      <c r="I6" t="s">
        <v>28</v>
      </c>
      <c r="J6" t="s">
        <v>26</v>
      </c>
      <c r="K6" t="s">
        <v>15</v>
      </c>
      <c r="L6" t="s">
        <v>77</v>
      </c>
      <c r="M6" t="s">
        <v>76</v>
      </c>
      <c r="N6" t="s">
        <v>75</v>
      </c>
      <c r="O6" s="4">
        <v>1.1900000000000001E-2</v>
      </c>
      <c r="P6">
        <f t="shared" si="0"/>
        <v>1</v>
      </c>
      <c r="Q6">
        <f>IF(OR(H5 &gt;= 70, ISNUMBER(SEARCH("Chargeback", LOWER(status)))), 1, 0)</f>
        <v>1</v>
      </c>
    </row>
    <row r="7" spans="1:17" x14ac:dyDescent="0.25">
      <c r="A7" t="s">
        <v>41</v>
      </c>
      <c r="B7" s="1">
        <v>46085</v>
      </c>
      <c r="C7" t="s">
        <v>45</v>
      </c>
      <c r="D7" t="s">
        <v>29</v>
      </c>
      <c r="E7" s="2">
        <v>470000</v>
      </c>
      <c r="F7" s="2">
        <v>5640</v>
      </c>
      <c r="G7" t="s">
        <v>87</v>
      </c>
      <c r="H7">
        <v>73</v>
      </c>
      <c r="I7" t="s">
        <v>28</v>
      </c>
      <c r="J7" t="s">
        <v>40</v>
      </c>
      <c r="K7" t="s">
        <v>15</v>
      </c>
      <c r="L7" t="s">
        <v>77</v>
      </c>
      <c r="M7" t="s">
        <v>76</v>
      </c>
      <c r="N7" t="s">
        <v>75</v>
      </c>
      <c r="O7" s="4">
        <v>1.2E-2</v>
      </c>
      <c r="P7">
        <f t="shared" si="0"/>
        <v>1</v>
      </c>
      <c r="Q7">
        <f>IF(OR(H6 &gt;= 70, ISNUMBER(SEARCH("Chargeback", LOWER(status)))), 1, 0)</f>
        <v>1</v>
      </c>
    </row>
    <row r="8" spans="1:17" x14ac:dyDescent="0.25">
      <c r="A8" t="s">
        <v>27</v>
      </c>
      <c r="B8" s="1">
        <v>46082</v>
      </c>
      <c r="C8" t="s">
        <v>21</v>
      </c>
      <c r="D8" t="s">
        <v>17</v>
      </c>
      <c r="E8" s="2">
        <v>5200</v>
      </c>
      <c r="F8" s="2">
        <v>5616</v>
      </c>
      <c r="G8" t="s">
        <v>87</v>
      </c>
      <c r="H8">
        <v>42</v>
      </c>
      <c r="I8" t="s">
        <v>24</v>
      </c>
      <c r="J8" t="s">
        <v>26</v>
      </c>
      <c r="K8" t="s">
        <v>9</v>
      </c>
      <c r="L8" t="s">
        <v>74</v>
      </c>
      <c r="M8" t="s">
        <v>73</v>
      </c>
      <c r="N8" t="s">
        <v>72</v>
      </c>
      <c r="O8" s="4">
        <v>1.08</v>
      </c>
      <c r="P8">
        <f t="shared" si="0"/>
        <v>0</v>
      </c>
      <c r="Q8">
        <f>IF(OR(H7 &gt;= 70, ISNUMBER(SEARCH("Chargeback", LOWER(status)))), 1, 0)</f>
        <v>1</v>
      </c>
    </row>
    <row r="9" spans="1:17" x14ac:dyDescent="0.25">
      <c r="A9" t="s">
        <v>49</v>
      </c>
      <c r="B9" s="1">
        <v>46083</v>
      </c>
      <c r="C9" t="s">
        <v>32</v>
      </c>
      <c r="D9" t="s">
        <v>29</v>
      </c>
      <c r="E9" s="2">
        <v>450000</v>
      </c>
      <c r="F9" s="2">
        <v>5400</v>
      </c>
      <c r="G9" t="s">
        <v>88</v>
      </c>
      <c r="H9">
        <v>83</v>
      </c>
      <c r="I9" t="s">
        <v>28</v>
      </c>
      <c r="J9" t="s">
        <v>16</v>
      </c>
      <c r="K9" t="s">
        <v>9</v>
      </c>
      <c r="L9" t="s">
        <v>80</v>
      </c>
      <c r="M9" t="s">
        <v>79</v>
      </c>
      <c r="N9" t="s">
        <v>78</v>
      </c>
      <c r="O9" s="4">
        <v>1.2E-2</v>
      </c>
      <c r="P9">
        <f t="shared" si="0"/>
        <v>1</v>
      </c>
      <c r="Q9">
        <f>IF(OR(H8 &gt;= 70, ISNUMBER(SEARCH("Chargeback", LOWER(status)))), 1, 0)</f>
        <v>0</v>
      </c>
    </row>
    <row r="10" spans="1:17" x14ac:dyDescent="0.25">
      <c r="A10" t="s">
        <v>55</v>
      </c>
      <c r="B10" s="1">
        <v>46082</v>
      </c>
      <c r="C10" t="s">
        <v>32</v>
      </c>
      <c r="D10" t="s">
        <v>29</v>
      </c>
      <c r="E10" s="2">
        <v>420000</v>
      </c>
      <c r="F10" s="2">
        <v>4998</v>
      </c>
      <c r="G10" t="s">
        <v>87</v>
      </c>
      <c r="H10">
        <v>62</v>
      </c>
      <c r="I10" t="s">
        <v>28</v>
      </c>
      <c r="J10" t="s">
        <v>40</v>
      </c>
      <c r="K10" t="s">
        <v>0</v>
      </c>
      <c r="L10" t="s">
        <v>80</v>
      </c>
      <c r="M10" t="s">
        <v>79</v>
      </c>
      <c r="N10" t="s">
        <v>78</v>
      </c>
      <c r="O10" s="4">
        <v>1.1900000000000001E-2</v>
      </c>
      <c r="P10">
        <f t="shared" si="0"/>
        <v>1</v>
      </c>
      <c r="Q10">
        <f>IF(OR(H9 &gt;= 70, ISNUMBER(SEARCH("Chargeback", LOWER(status)))), 1, 0)</f>
        <v>1</v>
      </c>
    </row>
    <row r="11" spans="1:17" x14ac:dyDescent="0.25">
      <c r="A11" t="s">
        <v>30</v>
      </c>
      <c r="B11" s="1">
        <v>46087</v>
      </c>
      <c r="C11" t="s">
        <v>32</v>
      </c>
      <c r="D11" t="s">
        <v>29</v>
      </c>
      <c r="E11" s="2">
        <v>410000</v>
      </c>
      <c r="F11" s="2">
        <v>4879</v>
      </c>
      <c r="G11" t="s">
        <v>87</v>
      </c>
      <c r="H11">
        <v>60</v>
      </c>
      <c r="I11" t="s">
        <v>28</v>
      </c>
      <c r="J11" t="s">
        <v>13</v>
      </c>
      <c r="K11" t="s">
        <v>0</v>
      </c>
      <c r="L11" t="s">
        <v>80</v>
      </c>
      <c r="M11" t="s">
        <v>79</v>
      </c>
      <c r="N11" t="s">
        <v>78</v>
      </c>
      <c r="O11" s="4">
        <v>1.1900000000000001E-2</v>
      </c>
      <c r="P11">
        <f t="shared" si="0"/>
        <v>0</v>
      </c>
      <c r="Q11">
        <f>IF(OR(H10 &gt;= 70, ISNUMBER(SEARCH("Chargeback", LOWER(status)))), 1, 0)</f>
        <v>0</v>
      </c>
    </row>
    <row r="12" spans="1:17" x14ac:dyDescent="0.25">
      <c r="A12" t="s">
        <v>51</v>
      </c>
      <c r="B12" s="1">
        <v>46083</v>
      </c>
      <c r="C12" t="s">
        <v>32</v>
      </c>
      <c r="D12" t="s">
        <v>29</v>
      </c>
      <c r="E12" s="2">
        <v>390000</v>
      </c>
      <c r="F12" s="2">
        <v>4680</v>
      </c>
      <c r="G12" t="s">
        <v>87</v>
      </c>
      <c r="H12">
        <v>58</v>
      </c>
      <c r="I12" t="s">
        <v>28</v>
      </c>
      <c r="J12" t="s">
        <v>40</v>
      </c>
      <c r="K12" t="s">
        <v>0</v>
      </c>
      <c r="L12" t="s">
        <v>80</v>
      </c>
      <c r="M12" t="s">
        <v>79</v>
      </c>
      <c r="N12" t="s">
        <v>78</v>
      </c>
      <c r="O12" s="4">
        <v>1.2E-2</v>
      </c>
      <c r="P12">
        <f t="shared" si="0"/>
        <v>0</v>
      </c>
      <c r="Q12">
        <f>IF(OR(H11 &gt;= 70, ISNUMBER(SEARCH("Chargeback", LOWER(status)))), 1, 0)</f>
        <v>0</v>
      </c>
    </row>
    <row r="13" spans="1:17" x14ac:dyDescent="0.25">
      <c r="A13" t="s">
        <v>48</v>
      </c>
      <c r="B13" s="1">
        <v>46084</v>
      </c>
      <c r="C13" t="s">
        <v>45</v>
      </c>
      <c r="D13" t="s">
        <v>29</v>
      </c>
      <c r="E13" s="2">
        <v>340000</v>
      </c>
      <c r="F13" s="2">
        <v>4114</v>
      </c>
      <c r="G13" t="s">
        <v>87</v>
      </c>
      <c r="H13">
        <v>59</v>
      </c>
      <c r="I13" t="s">
        <v>28</v>
      </c>
      <c r="J13" t="s">
        <v>13</v>
      </c>
      <c r="K13" t="s">
        <v>0</v>
      </c>
      <c r="L13" t="s">
        <v>77</v>
      </c>
      <c r="M13" t="s">
        <v>76</v>
      </c>
      <c r="N13" t="s">
        <v>75</v>
      </c>
      <c r="O13" s="4">
        <v>1.21E-2</v>
      </c>
      <c r="P13">
        <f t="shared" si="0"/>
        <v>0</v>
      </c>
      <c r="Q13">
        <f>IF(OR(H12 &gt;= 70, ISNUMBER(SEARCH("Chargeback", LOWER(status)))), 1, 0)</f>
        <v>0</v>
      </c>
    </row>
    <row r="14" spans="1:17" x14ac:dyDescent="0.25">
      <c r="A14" t="s">
        <v>31</v>
      </c>
      <c r="B14" s="1">
        <v>46087</v>
      </c>
      <c r="C14" t="s">
        <v>45</v>
      </c>
      <c r="D14" t="s">
        <v>29</v>
      </c>
      <c r="E14" s="2">
        <v>330000</v>
      </c>
      <c r="F14" s="2">
        <v>3927.0000000000005</v>
      </c>
      <c r="G14" t="s">
        <v>87</v>
      </c>
      <c r="H14">
        <v>63</v>
      </c>
      <c r="I14" t="s">
        <v>28</v>
      </c>
      <c r="J14" t="s">
        <v>16</v>
      </c>
      <c r="K14" t="s">
        <v>9</v>
      </c>
      <c r="L14" t="s">
        <v>77</v>
      </c>
      <c r="M14" t="s">
        <v>76</v>
      </c>
      <c r="N14" t="s">
        <v>75</v>
      </c>
      <c r="O14" s="4">
        <v>1.1900000000000001E-2</v>
      </c>
      <c r="P14">
        <f t="shared" si="0"/>
        <v>0</v>
      </c>
      <c r="Q14">
        <f>IF(OR(H13 &gt;= 70, ISNUMBER(SEARCH("Chargeback", LOWER(status)))), 1, 0)</f>
        <v>0</v>
      </c>
    </row>
    <row r="15" spans="1:17" x14ac:dyDescent="0.25">
      <c r="A15" t="s">
        <v>42</v>
      </c>
      <c r="B15" s="1">
        <v>46085</v>
      </c>
      <c r="C15" t="s">
        <v>32</v>
      </c>
      <c r="D15" t="s">
        <v>29</v>
      </c>
      <c r="E15" s="2">
        <v>310000</v>
      </c>
      <c r="F15" s="2">
        <v>3720</v>
      </c>
      <c r="G15" t="s">
        <v>87</v>
      </c>
      <c r="H15">
        <v>54</v>
      </c>
      <c r="I15" t="s">
        <v>28</v>
      </c>
      <c r="J15" t="s">
        <v>1</v>
      </c>
      <c r="K15" t="s">
        <v>0</v>
      </c>
      <c r="L15" t="s">
        <v>80</v>
      </c>
      <c r="M15" t="s">
        <v>79</v>
      </c>
      <c r="N15" t="s">
        <v>78</v>
      </c>
      <c r="O15" s="4">
        <v>1.2E-2</v>
      </c>
      <c r="P15">
        <f t="shared" si="0"/>
        <v>0</v>
      </c>
      <c r="Q15">
        <f>IF(OR(H14 &gt;= 70, ISNUMBER(SEARCH("Chargeback", LOWER(status)))), 1, 0)</f>
        <v>0</v>
      </c>
    </row>
    <row r="16" spans="1:17" x14ac:dyDescent="0.25">
      <c r="A16" t="s">
        <v>19</v>
      </c>
      <c r="B16" s="1">
        <v>46086</v>
      </c>
      <c r="C16" t="s">
        <v>18</v>
      </c>
      <c r="D16" t="s">
        <v>17</v>
      </c>
      <c r="E16" s="2">
        <v>3300</v>
      </c>
      <c r="F16" s="2">
        <v>3597.0000000000005</v>
      </c>
      <c r="G16" t="s">
        <v>3</v>
      </c>
      <c r="H16">
        <v>44</v>
      </c>
      <c r="I16" t="s">
        <v>24</v>
      </c>
      <c r="J16" t="s">
        <v>16</v>
      </c>
      <c r="K16" t="s">
        <v>15</v>
      </c>
      <c r="L16" t="s">
        <v>68</v>
      </c>
      <c r="M16" t="s">
        <v>67</v>
      </c>
      <c r="N16" t="s">
        <v>66</v>
      </c>
      <c r="O16" s="4">
        <v>1.0900000000000001</v>
      </c>
      <c r="P16">
        <f t="shared" si="0"/>
        <v>0</v>
      </c>
      <c r="Q16">
        <f>IF(OR(H15 &gt;= 70, ISNUMBER(SEARCH("Chargeback", LOWER(status)))), 1, 0)</f>
        <v>0</v>
      </c>
    </row>
    <row r="17" spans="1:17" x14ac:dyDescent="0.25">
      <c r="A17" t="s">
        <v>50</v>
      </c>
      <c r="B17" s="1">
        <v>46083</v>
      </c>
      <c r="C17" t="s">
        <v>45</v>
      </c>
      <c r="D17" t="s">
        <v>29</v>
      </c>
      <c r="E17" s="2">
        <v>275000</v>
      </c>
      <c r="F17" s="2">
        <v>3300</v>
      </c>
      <c r="G17" t="s">
        <v>87</v>
      </c>
      <c r="H17">
        <v>64</v>
      </c>
      <c r="I17" t="s">
        <v>28</v>
      </c>
      <c r="J17" t="s">
        <v>20</v>
      </c>
      <c r="K17" t="s">
        <v>6</v>
      </c>
      <c r="L17" t="s">
        <v>77</v>
      </c>
      <c r="M17" t="s">
        <v>76</v>
      </c>
      <c r="N17" t="s">
        <v>75</v>
      </c>
      <c r="O17" s="4">
        <v>1.2E-2</v>
      </c>
      <c r="P17">
        <f t="shared" si="0"/>
        <v>0</v>
      </c>
      <c r="Q17">
        <f>IF(OR(H16 &gt;= 70, ISNUMBER(SEARCH("Chargeback", LOWER(status)))), 1, 0)</f>
        <v>0</v>
      </c>
    </row>
    <row r="18" spans="1:17" x14ac:dyDescent="0.25">
      <c r="A18" t="s">
        <v>12</v>
      </c>
      <c r="B18" s="1">
        <v>46083</v>
      </c>
      <c r="C18" t="s">
        <v>11</v>
      </c>
      <c r="D18" t="s">
        <v>4</v>
      </c>
      <c r="E18" s="2">
        <v>3100</v>
      </c>
      <c r="F18" s="2">
        <v>3100</v>
      </c>
      <c r="G18" t="s">
        <v>87</v>
      </c>
      <c r="H18">
        <v>41</v>
      </c>
      <c r="I18" t="s">
        <v>2</v>
      </c>
      <c r="J18" t="s">
        <v>10</v>
      </c>
      <c r="K18" t="s">
        <v>9</v>
      </c>
      <c r="L18" t="s">
        <v>71</v>
      </c>
      <c r="M18" t="s">
        <v>70</v>
      </c>
      <c r="N18" t="s">
        <v>69</v>
      </c>
      <c r="O18" s="4">
        <v>1</v>
      </c>
      <c r="P18">
        <f t="shared" si="0"/>
        <v>0</v>
      </c>
      <c r="Q18">
        <f>IF(OR(H17 &gt;= 70, ISNUMBER(SEARCH("Chargeback", LOWER(status)))), 1, 0)</f>
        <v>0</v>
      </c>
    </row>
    <row r="19" spans="1:17" x14ac:dyDescent="0.25">
      <c r="A19" t="s">
        <v>34</v>
      </c>
      <c r="B19" s="1">
        <v>46086</v>
      </c>
      <c r="C19" t="s">
        <v>32</v>
      </c>
      <c r="D19" t="s">
        <v>29</v>
      </c>
      <c r="E19" s="2">
        <v>260000</v>
      </c>
      <c r="F19" s="2">
        <v>3068</v>
      </c>
      <c r="G19" t="s">
        <v>3</v>
      </c>
      <c r="H19">
        <v>67</v>
      </c>
      <c r="I19" t="s">
        <v>28</v>
      </c>
      <c r="J19" t="s">
        <v>10</v>
      </c>
      <c r="K19" t="s">
        <v>6</v>
      </c>
      <c r="L19" t="s">
        <v>80</v>
      </c>
      <c r="M19" t="s">
        <v>79</v>
      </c>
      <c r="N19" t="s">
        <v>78</v>
      </c>
      <c r="O19" s="4">
        <v>1.18E-2</v>
      </c>
      <c r="P19">
        <f t="shared" si="0"/>
        <v>0</v>
      </c>
      <c r="Q19">
        <f>IF(OR(H18 &gt;= 70, ISNUMBER(SEARCH("Chargeback", LOWER(status)))), 1, 0)</f>
        <v>0</v>
      </c>
    </row>
    <row r="20" spans="1:17" x14ac:dyDescent="0.25">
      <c r="A20" t="s">
        <v>22</v>
      </c>
      <c r="B20" s="1">
        <v>46084</v>
      </c>
      <c r="C20" t="s">
        <v>21</v>
      </c>
      <c r="D20" t="s">
        <v>17</v>
      </c>
      <c r="E20" s="2">
        <v>2800</v>
      </c>
      <c r="F20" s="2">
        <v>3024</v>
      </c>
      <c r="G20" t="s">
        <v>87</v>
      </c>
      <c r="H20">
        <v>38</v>
      </c>
      <c r="I20" t="s">
        <v>24</v>
      </c>
      <c r="J20" t="s">
        <v>20</v>
      </c>
      <c r="K20" t="s">
        <v>6</v>
      </c>
      <c r="L20" t="s">
        <v>74</v>
      </c>
      <c r="M20" t="s">
        <v>73</v>
      </c>
      <c r="N20" t="s">
        <v>72</v>
      </c>
      <c r="O20" s="4">
        <v>1.08</v>
      </c>
      <c r="P20">
        <f t="shared" si="0"/>
        <v>0</v>
      </c>
      <c r="Q20">
        <f>IF(OR(H19 &gt;= 70, ISNUMBER(SEARCH("Chargeback", LOWER(status)))), 1, 0)</f>
        <v>0</v>
      </c>
    </row>
    <row r="21" spans="1:17" x14ac:dyDescent="0.25">
      <c r="A21" t="s">
        <v>43</v>
      </c>
      <c r="B21" s="1">
        <v>46085</v>
      </c>
      <c r="C21" t="s">
        <v>45</v>
      </c>
      <c r="D21" t="s">
        <v>29</v>
      </c>
      <c r="E21" s="2">
        <v>250000</v>
      </c>
      <c r="F21" s="2">
        <v>3000</v>
      </c>
      <c r="G21" t="s">
        <v>87</v>
      </c>
      <c r="H21">
        <v>61</v>
      </c>
      <c r="I21" t="s">
        <v>28</v>
      </c>
      <c r="J21" t="s">
        <v>7</v>
      </c>
      <c r="K21" t="s">
        <v>9</v>
      </c>
      <c r="L21" t="s">
        <v>77</v>
      </c>
      <c r="M21" t="s">
        <v>76</v>
      </c>
      <c r="N21" t="s">
        <v>75</v>
      </c>
      <c r="O21" s="4">
        <v>1.2E-2</v>
      </c>
      <c r="P21">
        <f t="shared" si="0"/>
        <v>0</v>
      </c>
      <c r="Q21">
        <f>IF(OR(H20 &gt;= 70, ISNUMBER(SEARCH("Chargeback", LOWER(status)))), 1, 0)</f>
        <v>0</v>
      </c>
    </row>
    <row r="22" spans="1:17" x14ac:dyDescent="0.25">
      <c r="A22" t="s">
        <v>37</v>
      </c>
      <c r="B22" s="1">
        <v>46086</v>
      </c>
      <c r="C22" t="s">
        <v>45</v>
      </c>
      <c r="D22" t="s">
        <v>29</v>
      </c>
      <c r="E22" s="2">
        <v>220000</v>
      </c>
      <c r="F22" s="2">
        <v>2596</v>
      </c>
      <c r="G22" t="s">
        <v>3</v>
      </c>
      <c r="H22">
        <v>69</v>
      </c>
      <c r="I22" t="s">
        <v>28</v>
      </c>
      <c r="J22" t="s">
        <v>10</v>
      </c>
      <c r="K22" t="s">
        <v>9</v>
      </c>
      <c r="L22" t="s">
        <v>77</v>
      </c>
      <c r="M22" t="s">
        <v>76</v>
      </c>
      <c r="N22" t="s">
        <v>75</v>
      </c>
      <c r="O22" s="4">
        <v>1.18E-2</v>
      </c>
      <c r="P22">
        <f t="shared" si="0"/>
        <v>0</v>
      </c>
      <c r="Q22">
        <f>IF(OR(H21 &gt;= 70, ISNUMBER(SEARCH("Chargeback", LOWER(status)))), 1, 0)</f>
        <v>0</v>
      </c>
    </row>
    <row r="23" spans="1:17" x14ac:dyDescent="0.25">
      <c r="A23" t="s">
        <v>8</v>
      </c>
      <c r="B23" s="1">
        <v>46085</v>
      </c>
      <c r="C23" t="s">
        <v>11</v>
      </c>
      <c r="D23" t="s">
        <v>4</v>
      </c>
      <c r="E23" s="2">
        <v>2500</v>
      </c>
      <c r="F23" s="2">
        <v>2500</v>
      </c>
      <c r="G23" t="s">
        <v>88</v>
      </c>
      <c r="H23">
        <v>58</v>
      </c>
      <c r="I23" t="s">
        <v>2</v>
      </c>
      <c r="J23" t="s">
        <v>7</v>
      </c>
      <c r="K23" t="s">
        <v>6</v>
      </c>
      <c r="L23" t="s">
        <v>71</v>
      </c>
      <c r="M23" t="s">
        <v>70</v>
      </c>
      <c r="N23" t="s">
        <v>69</v>
      </c>
      <c r="O23" s="4">
        <v>1</v>
      </c>
      <c r="P23">
        <f t="shared" si="0"/>
        <v>0</v>
      </c>
      <c r="Q23">
        <f>IF(OR(H22 &gt;= 70, ISNUMBER(SEARCH("Chargeback", LOWER(status)))), 1, 0)</f>
        <v>0</v>
      </c>
    </row>
    <row r="24" spans="1:17" x14ac:dyDescent="0.25">
      <c r="A24" t="s">
        <v>54</v>
      </c>
      <c r="B24" s="1">
        <v>46082</v>
      </c>
      <c r="C24" t="s">
        <v>32</v>
      </c>
      <c r="D24" t="s">
        <v>29</v>
      </c>
      <c r="E24" s="2">
        <v>210000</v>
      </c>
      <c r="F24" s="2">
        <v>2499</v>
      </c>
      <c r="G24" t="s">
        <v>87</v>
      </c>
      <c r="H24">
        <v>55</v>
      </c>
      <c r="I24" t="s">
        <v>28</v>
      </c>
      <c r="J24" t="s">
        <v>38</v>
      </c>
      <c r="K24" t="s">
        <v>9</v>
      </c>
      <c r="L24" t="s">
        <v>80</v>
      </c>
      <c r="M24" t="s">
        <v>79</v>
      </c>
      <c r="N24" t="s">
        <v>78</v>
      </c>
      <c r="O24" s="4">
        <v>1.1900000000000001E-2</v>
      </c>
      <c r="P24">
        <f t="shared" si="0"/>
        <v>0</v>
      </c>
      <c r="Q24">
        <f>IF(OR(H23 &gt;= 70, ISNUMBER(SEARCH("Chargeback", LOWER(status)))), 1, 0)</f>
        <v>0</v>
      </c>
    </row>
    <row r="25" spans="1:17" x14ac:dyDescent="0.25">
      <c r="A25" t="s">
        <v>44</v>
      </c>
      <c r="B25" s="1">
        <v>46084</v>
      </c>
      <c r="C25" t="s">
        <v>32</v>
      </c>
      <c r="D25" t="s">
        <v>29</v>
      </c>
      <c r="E25" s="2">
        <v>195000</v>
      </c>
      <c r="F25" s="2">
        <v>2359.5</v>
      </c>
      <c r="G25" t="s">
        <v>3</v>
      </c>
      <c r="I25" t="s">
        <v>28</v>
      </c>
      <c r="J25" t="s">
        <v>10</v>
      </c>
      <c r="K25" t="s">
        <v>0</v>
      </c>
      <c r="L25" t="s">
        <v>80</v>
      </c>
      <c r="M25" t="s">
        <v>79</v>
      </c>
      <c r="N25" t="s">
        <v>78</v>
      </c>
      <c r="O25" s="4">
        <v>1.21E-2</v>
      </c>
      <c r="P25">
        <f t="shared" si="0"/>
        <v>0</v>
      </c>
      <c r="Q25">
        <f>IF(OR(H24 &gt;= 70, ISNUMBER(SEARCH("Chargeback", LOWER(status)))), 1, 0)</f>
        <v>0</v>
      </c>
    </row>
    <row r="26" spans="1:17" x14ac:dyDescent="0.25">
      <c r="A26" t="s">
        <v>36</v>
      </c>
      <c r="B26" s="1">
        <v>46086</v>
      </c>
      <c r="C26" t="s">
        <v>45</v>
      </c>
      <c r="D26" t="s">
        <v>29</v>
      </c>
      <c r="E26" s="2">
        <v>180000</v>
      </c>
      <c r="F26" s="2">
        <v>2124</v>
      </c>
      <c r="G26" t="s">
        <v>3</v>
      </c>
      <c r="H26">
        <v>72</v>
      </c>
      <c r="I26" t="s">
        <v>28</v>
      </c>
      <c r="J26" t="s">
        <v>10</v>
      </c>
      <c r="K26" t="s">
        <v>9</v>
      </c>
      <c r="L26" t="s">
        <v>77</v>
      </c>
      <c r="M26" t="s">
        <v>76</v>
      </c>
      <c r="N26" t="s">
        <v>75</v>
      </c>
      <c r="O26" s="4">
        <v>1.18E-2</v>
      </c>
      <c r="P26">
        <f t="shared" si="0"/>
        <v>0</v>
      </c>
      <c r="Q26">
        <f>IF(OR(H25 &gt;= 70, ISNUMBER(SEARCH("Chargeback", LOWER(status)))), 1, 0)</f>
        <v>0</v>
      </c>
    </row>
    <row r="27" spans="1:17" x14ac:dyDescent="0.25">
      <c r="A27" t="s">
        <v>52</v>
      </c>
      <c r="B27" s="1">
        <v>46083</v>
      </c>
      <c r="C27" t="s">
        <v>45</v>
      </c>
      <c r="D27" t="s">
        <v>29</v>
      </c>
      <c r="E27" s="2">
        <v>160000</v>
      </c>
      <c r="F27" s="2">
        <v>1920</v>
      </c>
      <c r="G27" t="s">
        <v>3</v>
      </c>
      <c r="H27">
        <v>68</v>
      </c>
      <c r="I27" t="s">
        <v>28</v>
      </c>
      <c r="J27" t="s">
        <v>23</v>
      </c>
      <c r="K27" t="s">
        <v>9</v>
      </c>
      <c r="L27" t="s">
        <v>77</v>
      </c>
      <c r="M27" t="s">
        <v>76</v>
      </c>
      <c r="N27" t="s">
        <v>75</v>
      </c>
      <c r="O27" s="4">
        <v>1.2E-2</v>
      </c>
      <c r="P27">
        <f t="shared" si="0"/>
        <v>0</v>
      </c>
      <c r="Q27">
        <f>IF(OR(H26 &gt;= 70, ISNUMBER(SEARCH("Chargeback", LOWER(status)))), 1, 0)</f>
        <v>1</v>
      </c>
    </row>
    <row r="28" spans="1:17" x14ac:dyDescent="0.25">
      <c r="A28" t="s">
        <v>5</v>
      </c>
      <c r="B28" s="1">
        <v>46087</v>
      </c>
      <c r="C28" t="s">
        <v>11</v>
      </c>
      <c r="D28" t="s">
        <v>4</v>
      </c>
      <c r="E28" s="2">
        <v>1800</v>
      </c>
      <c r="F28" s="2">
        <v>1800</v>
      </c>
      <c r="G28" t="s">
        <v>3</v>
      </c>
      <c r="H28">
        <v>47</v>
      </c>
      <c r="I28" t="s">
        <v>2</v>
      </c>
      <c r="J28" t="s">
        <v>1</v>
      </c>
      <c r="K28" t="s">
        <v>0</v>
      </c>
      <c r="L28" t="s">
        <v>71</v>
      </c>
      <c r="M28" t="s">
        <v>70</v>
      </c>
      <c r="N28" t="s">
        <v>69</v>
      </c>
      <c r="O28" s="4">
        <v>1</v>
      </c>
      <c r="P28">
        <f t="shared" si="0"/>
        <v>0</v>
      </c>
      <c r="Q28">
        <f>IF(OR(H27 &gt;= 70, ISNUMBER(SEARCH("Chargeback", LOWER(status)))), 1, 0)</f>
        <v>0</v>
      </c>
    </row>
    <row r="29" spans="1:17" x14ac:dyDescent="0.25">
      <c r="A29" t="s">
        <v>35</v>
      </c>
      <c r="B29" s="1">
        <v>46086</v>
      </c>
      <c r="C29" t="s">
        <v>45</v>
      </c>
      <c r="D29" t="s">
        <v>29</v>
      </c>
      <c r="E29" s="2">
        <v>145000</v>
      </c>
      <c r="F29" s="2">
        <v>1711</v>
      </c>
      <c r="G29" t="s">
        <v>88</v>
      </c>
      <c r="H29">
        <v>86</v>
      </c>
      <c r="I29" t="s">
        <v>28</v>
      </c>
      <c r="J29" t="s">
        <v>10</v>
      </c>
      <c r="K29" t="s">
        <v>0</v>
      </c>
      <c r="L29" t="s">
        <v>77</v>
      </c>
      <c r="M29" t="s">
        <v>76</v>
      </c>
      <c r="N29" t="s">
        <v>75</v>
      </c>
      <c r="O29" s="4">
        <v>1.18E-2</v>
      </c>
      <c r="P29">
        <f t="shared" si="0"/>
        <v>0</v>
      </c>
      <c r="Q29">
        <f>IF(OR(H28 &gt;= 70, ISNUMBER(SEARCH("Chargeback", LOWER(status)))), 1, 0)</f>
        <v>0</v>
      </c>
    </row>
    <row r="30" spans="1:17" x14ac:dyDescent="0.25">
      <c r="A30" t="s">
        <v>39</v>
      </c>
      <c r="B30" s="1">
        <v>46085</v>
      </c>
      <c r="C30" t="s">
        <v>32</v>
      </c>
      <c r="D30" t="s">
        <v>29</v>
      </c>
      <c r="E30" s="2">
        <v>130000</v>
      </c>
      <c r="F30" s="2">
        <v>1560</v>
      </c>
      <c r="G30" t="s">
        <v>87</v>
      </c>
      <c r="H30">
        <v>52</v>
      </c>
      <c r="I30" t="s">
        <v>28</v>
      </c>
      <c r="J30" t="s">
        <v>38</v>
      </c>
      <c r="K30" t="s">
        <v>9</v>
      </c>
      <c r="L30" t="s">
        <v>80</v>
      </c>
      <c r="M30" t="s">
        <v>79</v>
      </c>
      <c r="N30" t="s">
        <v>78</v>
      </c>
      <c r="O30" s="4">
        <v>1.2E-2</v>
      </c>
      <c r="P30">
        <f t="shared" si="0"/>
        <v>0</v>
      </c>
      <c r="Q30">
        <f>IF(OR(H29 &gt;= 70, ISNUMBER(SEARCH("Chargeback", LOWER(status)))), 1, 0)</f>
        <v>1</v>
      </c>
    </row>
    <row r="31" spans="1:17" x14ac:dyDescent="0.25">
      <c r="A31" t="s">
        <v>47</v>
      </c>
      <c r="B31" s="1">
        <v>46084</v>
      </c>
      <c r="C31" t="s">
        <v>32</v>
      </c>
      <c r="D31" t="s">
        <v>29</v>
      </c>
      <c r="E31" s="2">
        <v>125000</v>
      </c>
      <c r="F31" s="2">
        <v>1512.5</v>
      </c>
      <c r="G31" t="s">
        <v>87</v>
      </c>
      <c r="H31">
        <v>46</v>
      </c>
      <c r="I31" t="s">
        <v>28</v>
      </c>
      <c r="J31" t="s">
        <v>38</v>
      </c>
      <c r="K31" t="s">
        <v>6</v>
      </c>
      <c r="L31" t="s">
        <v>80</v>
      </c>
      <c r="M31" t="s">
        <v>79</v>
      </c>
      <c r="N31" t="s">
        <v>78</v>
      </c>
      <c r="O31" s="4">
        <v>1.21E-2</v>
      </c>
      <c r="P31">
        <f t="shared" si="0"/>
        <v>0</v>
      </c>
      <c r="Q31">
        <f>IF(OR(H30 &gt;= 70, ISNUMBER(SEARCH("Chargeback", LOWER(status)))), 1, 0)</f>
        <v>0</v>
      </c>
    </row>
  </sheetData>
  <autoFilter ref="A1:Q31">
    <sortState ref="A2:Q31">
      <sortCondition descending="1" ref="F1:F31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D9" sqref="D9"/>
    </sheetView>
  </sheetViews>
  <sheetFormatPr defaultRowHeight="15" x14ac:dyDescent="0.25"/>
  <sheetData>
    <row r="1" spans="1:5" x14ac:dyDescent="0.25">
      <c r="A1" t="s">
        <v>63</v>
      </c>
      <c r="B1" t="s">
        <v>84</v>
      </c>
      <c r="C1" t="s">
        <v>83</v>
      </c>
      <c r="D1" t="s">
        <v>82</v>
      </c>
      <c r="E1" t="s">
        <v>81</v>
      </c>
    </row>
    <row r="2" spans="1:5" x14ac:dyDescent="0.25">
      <c r="A2" t="s">
        <v>32</v>
      </c>
      <c r="B2" t="s">
        <v>80</v>
      </c>
      <c r="C2" t="s">
        <v>79</v>
      </c>
      <c r="D2" t="s">
        <v>78</v>
      </c>
      <c r="E2" t="s">
        <v>28</v>
      </c>
    </row>
    <row r="3" spans="1:5" x14ac:dyDescent="0.25">
      <c r="A3" t="s">
        <v>45</v>
      </c>
      <c r="B3" t="s">
        <v>77</v>
      </c>
      <c r="C3" t="s">
        <v>76</v>
      </c>
      <c r="D3" t="s">
        <v>75</v>
      </c>
      <c r="E3" t="s">
        <v>28</v>
      </c>
    </row>
    <row r="4" spans="1:5" x14ac:dyDescent="0.25">
      <c r="A4" t="s">
        <v>21</v>
      </c>
      <c r="B4" t="s">
        <v>74</v>
      </c>
      <c r="C4" t="s">
        <v>73</v>
      </c>
      <c r="D4" t="s">
        <v>72</v>
      </c>
      <c r="E4" t="s">
        <v>24</v>
      </c>
    </row>
    <row r="5" spans="1:5" x14ac:dyDescent="0.25">
      <c r="A5" t="s">
        <v>11</v>
      </c>
      <c r="B5" t="s">
        <v>71</v>
      </c>
      <c r="C5" t="s">
        <v>70</v>
      </c>
      <c r="D5" t="s">
        <v>69</v>
      </c>
      <c r="E5" t="s">
        <v>2</v>
      </c>
    </row>
    <row r="6" spans="1:5" x14ac:dyDescent="0.25">
      <c r="A6" t="s">
        <v>18</v>
      </c>
      <c r="B6" t="s">
        <v>68</v>
      </c>
      <c r="C6" t="s">
        <v>67</v>
      </c>
      <c r="D6" t="s">
        <v>66</v>
      </c>
      <c r="E6" t="s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C19"/>
  <sheetViews>
    <sheetView workbookViewId="0">
      <selection activeCell="E26" sqref="E26"/>
    </sheetView>
  </sheetViews>
  <sheetFormatPr defaultRowHeight="15" x14ac:dyDescent="0.25"/>
  <cols>
    <col min="1" max="1" width="11.85546875" bestFit="1" customWidth="1"/>
  </cols>
  <sheetData>
    <row r="1" spans="1:3" x14ac:dyDescent="0.25">
      <c r="A1" t="s">
        <v>86</v>
      </c>
      <c r="B1" t="s">
        <v>61</v>
      </c>
      <c r="C1" t="s">
        <v>85</v>
      </c>
    </row>
    <row r="2" spans="1:3" x14ac:dyDescent="0.25">
      <c r="A2" s="1">
        <v>46082</v>
      </c>
      <c r="B2" t="s">
        <v>29</v>
      </c>
      <c r="C2" s="9">
        <v>1.1900000000000001E-2</v>
      </c>
    </row>
    <row r="3" spans="1:3" hidden="1" x14ac:dyDescent="0.25">
      <c r="A3" s="1">
        <v>46082</v>
      </c>
      <c r="B3" t="s">
        <v>17</v>
      </c>
      <c r="C3">
        <v>1.08</v>
      </c>
    </row>
    <row r="4" spans="1:3" hidden="1" x14ac:dyDescent="0.25">
      <c r="A4" s="1">
        <v>46082</v>
      </c>
      <c r="B4" t="s">
        <v>4</v>
      </c>
      <c r="C4">
        <v>1</v>
      </c>
    </row>
    <row r="5" spans="1:3" x14ac:dyDescent="0.25">
      <c r="A5" s="1">
        <v>46083</v>
      </c>
      <c r="B5" t="s">
        <v>29</v>
      </c>
      <c r="C5" s="9">
        <v>1.2E-2</v>
      </c>
    </row>
    <row r="6" spans="1:3" hidden="1" x14ac:dyDescent="0.25">
      <c r="A6" s="1">
        <v>46083</v>
      </c>
      <c r="B6" t="s">
        <v>17</v>
      </c>
      <c r="C6">
        <v>1.0900000000000001</v>
      </c>
    </row>
    <row r="7" spans="1:3" hidden="1" x14ac:dyDescent="0.25">
      <c r="A7" s="1">
        <v>46083</v>
      </c>
      <c r="B7" t="s">
        <v>4</v>
      </c>
      <c r="C7">
        <v>1</v>
      </c>
    </row>
    <row r="8" spans="1:3" x14ac:dyDescent="0.25">
      <c r="A8" s="1">
        <v>46084</v>
      </c>
      <c r="B8" t="s">
        <v>29</v>
      </c>
      <c r="C8" s="9">
        <v>1.21E-2</v>
      </c>
    </row>
    <row r="9" spans="1:3" hidden="1" x14ac:dyDescent="0.25">
      <c r="A9" s="1">
        <v>46084</v>
      </c>
      <c r="B9" t="s">
        <v>17</v>
      </c>
      <c r="C9">
        <v>1.08</v>
      </c>
    </row>
    <row r="10" spans="1:3" hidden="1" x14ac:dyDescent="0.25">
      <c r="A10" s="1">
        <v>46084</v>
      </c>
      <c r="B10" t="s">
        <v>4</v>
      </c>
      <c r="C10">
        <v>1</v>
      </c>
    </row>
    <row r="11" spans="1:3" x14ac:dyDescent="0.25">
      <c r="A11" s="1">
        <v>46085</v>
      </c>
      <c r="B11" t="s">
        <v>29</v>
      </c>
      <c r="C11" s="9">
        <v>1.2E-2</v>
      </c>
    </row>
    <row r="12" spans="1:3" hidden="1" x14ac:dyDescent="0.25">
      <c r="A12" s="1">
        <v>46085</v>
      </c>
      <c r="B12" t="s">
        <v>17</v>
      </c>
      <c r="C12">
        <v>1.07</v>
      </c>
    </row>
    <row r="13" spans="1:3" hidden="1" x14ac:dyDescent="0.25">
      <c r="A13" s="1">
        <v>46085</v>
      </c>
      <c r="B13" t="s">
        <v>4</v>
      </c>
      <c r="C13">
        <v>1</v>
      </c>
    </row>
    <row r="14" spans="1:3" x14ac:dyDescent="0.25">
      <c r="A14" s="1">
        <v>46086</v>
      </c>
      <c r="B14" t="s">
        <v>29</v>
      </c>
      <c r="C14" s="9">
        <v>1.18E-2</v>
      </c>
    </row>
    <row r="15" spans="1:3" hidden="1" x14ac:dyDescent="0.25">
      <c r="A15" s="1">
        <v>46086</v>
      </c>
      <c r="B15" t="s">
        <v>17</v>
      </c>
      <c r="C15">
        <v>1.0900000000000001</v>
      </c>
    </row>
    <row r="16" spans="1:3" hidden="1" x14ac:dyDescent="0.25">
      <c r="A16" s="1">
        <v>46086</v>
      </c>
      <c r="B16" t="s">
        <v>4</v>
      </c>
      <c r="C16">
        <v>1</v>
      </c>
    </row>
    <row r="17" spans="1:3" x14ac:dyDescent="0.25">
      <c r="A17" s="1">
        <v>46087</v>
      </c>
      <c r="B17" t="s">
        <v>29</v>
      </c>
      <c r="C17" s="9">
        <v>1.1900000000000001E-2</v>
      </c>
    </row>
    <row r="18" spans="1:3" hidden="1" x14ac:dyDescent="0.25">
      <c r="A18" s="1">
        <v>46087</v>
      </c>
      <c r="B18" t="s">
        <v>17</v>
      </c>
      <c r="C18">
        <v>1.08</v>
      </c>
    </row>
    <row r="19" spans="1:3" hidden="1" x14ac:dyDescent="0.25">
      <c r="A19" s="1">
        <v>46087</v>
      </c>
      <c r="B19" t="s">
        <v>4</v>
      </c>
      <c r="C19">
        <v>1</v>
      </c>
    </row>
  </sheetData>
  <autoFilter ref="A1:C19">
    <filterColumn colId="1">
      <filters>
        <filter val="IN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Pivot</vt:lpstr>
      <vt:lpstr>payment_method_breakdown</vt:lpstr>
      <vt:lpstr>transactions</vt:lpstr>
      <vt:lpstr>merchant_master</vt:lpstr>
      <vt:lpstr>exchange_rates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Sadhitra</dc:creator>
  <cp:lastModifiedBy>Sadhitra</cp:lastModifiedBy>
  <dcterms:created xsi:type="dcterms:W3CDTF">2026-05-05T16:11:47Z</dcterms:created>
  <dcterms:modified xsi:type="dcterms:W3CDTF">2026-05-05T21:39:30Z</dcterms:modified>
</cp:coreProperties>
</file>