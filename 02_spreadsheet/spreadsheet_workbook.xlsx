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dhitra\Desktop\fintech-assignment\02_spreadsheet\"/>
    </mc:Choice>
  </mc:AlternateContent>
  <bookViews>
    <workbookView xWindow="0" yWindow="0" windowWidth="20490" windowHeight="77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1" l="1"/>
  <c r="R4" i="1"/>
  <c r="R20" i="1"/>
  <c r="R9" i="1"/>
  <c r="R13" i="1"/>
  <c r="R6" i="1"/>
  <c r="R10" i="1"/>
  <c r="R23" i="1"/>
  <c r="R2" i="1"/>
  <c r="R18" i="1"/>
  <c r="R15" i="1"/>
  <c r="R12" i="1"/>
  <c r="R5" i="1"/>
  <c r="R22" i="1"/>
  <c r="R16" i="1"/>
  <c r="R19" i="1"/>
  <c r="R21" i="1"/>
  <c r="R14" i="1"/>
  <c r="R3" i="1"/>
  <c r="R11" i="1"/>
  <c r="R8" i="1"/>
  <c r="R26" i="1"/>
  <c r="R25" i="1"/>
  <c r="R29" i="1"/>
  <c r="R27" i="1"/>
  <c r="R24" i="1"/>
  <c r="R28" i="1"/>
  <c r="R30" i="1"/>
  <c r="R31" i="1"/>
  <c r="R7" i="1"/>
  <c r="Q17" i="1"/>
  <c r="Q4" i="1"/>
  <c r="Q20" i="1"/>
  <c r="Q9" i="1"/>
  <c r="Q13" i="1"/>
  <c r="Q6" i="1"/>
  <c r="Q10" i="1"/>
  <c r="Q23" i="1"/>
  <c r="Q2" i="1"/>
  <c r="Q18" i="1"/>
  <c r="Q15" i="1"/>
  <c r="Q12" i="1"/>
  <c r="Q5" i="1"/>
  <c r="Q22" i="1"/>
  <c r="Q16" i="1"/>
  <c r="Q19" i="1"/>
  <c r="Q21" i="1"/>
  <c r="Q14" i="1"/>
  <c r="Q3" i="1"/>
  <c r="Q11" i="1"/>
  <c r="Q8" i="1"/>
  <c r="Q26" i="1"/>
  <c r="Q25" i="1"/>
  <c r="Q29" i="1"/>
  <c r="Q27" i="1"/>
  <c r="Q24" i="1"/>
  <c r="Q28" i="1"/>
  <c r="Q30" i="1"/>
  <c r="Q31" i="1"/>
  <c r="Q7" i="1"/>
  <c r="M17" i="1"/>
  <c r="M4" i="1"/>
  <c r="M20" i="1"/>
  <c r="M9" i="1"/>
  <c r="M13" i="1"/>
  <c r="M6" i="1"/>
  <c r="M10" i="1"/>
  <c r="M23" i="1"/>
  <c r="M2" i="1"/>
  <c r="M18" i="1"/>
  <c r="M15" i="1"/>
  <c r="M12" i="1"/>
  <c r="M5" i="1"/>
  <c r="M22" i="1"/>
  <c r="M16" i="1"/>
  <c r="M19" i="1"/>
  <c r="M21" i="1"/>
  <c r="M14" i="1"/>
  <c r="M3" i="1"/>
  <c r="M11" i="1"/>
  <c r="M8" i="1"/>
  <c r="M26" i="1"/>
  <c r="M25" i="1"/>
  <c r="M29" i="1"/>
  <c r="M27" i="1"/>
  <c r="M24" i="1"/>
  <c r="M28" i="1"/>
  <c r="M30" i="1"/>
  <c r="M31" i="1"/>
  <c r="M7" i="1"/>
</calcChain>
</file>

<file path=xl/sharedStrings.xml><?xml version="1.0" encoding="utf-8"?>
<sst xmlns="http://schemas.openxmlformats.org/spreadsheetml/2006/main" count="339" uniqueCount="85">
  <si>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</si>
  <si>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</si>
  <si>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</si>
  <si>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</si>
  <si>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</si>
  <si>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</si>
  <si>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</si>
  <si>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</si>
  <si>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</si>
  <si>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</si>
  <si>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</si>
  <si>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INR</t>
  </si>
  <si>
    <t>captured</t>
  </si>
  <si>
    <t>APAC</t>
  </si>
  <si>
    <t>U001</t>
  </si>
  <si>
    <t>UPI</t>
  </si>
  <si>
    <t>T002</t>
  </si>
  <si>
    <t>U002</t>
  </si>
  <si>
    <t>Card</t>
  </si>
  <si>
    <t>T003</t>
  </si>
  <si>
    <t>U003</t>
  </si>
  <si>
    <t>NetBanking</t>
  </si>
  <si>
    <t>T004</t>
  </si>
  <si>
    <t>U004</t>
  </si>
  <si>
    <t>T005</t>
  </si>
  <si>
    <t>Alpha Mart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</si>
  <si>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</si>
  <si>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</si>
  <si>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</si>
  <si>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</si>
  <si>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</si>
  <si>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</si>
  <si>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</si>
  <si>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</si>
  <si>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</si>
  <si>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</si>
  <si>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</si>
  <si>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</si>
  <si>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</si>
  <si>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</si>
  <si>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</si>
  <si>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</si>
  <si>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</si>
  <si>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</si>
  <si>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</si>
  <si>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</si>
  <si>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failed E05 timeout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</si>
  <si>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</si>
  <si>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</si>
  <si>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</si>
  <si>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</si>
  <si>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</si>
  <si>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</si>
  <si>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</si>
  <si>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</si>
  <si>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</si>
  <si>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T024</t>
  </si>
  <si>
    <t>Eco Home</t>
  </si>
  <si>
    <t>EU</t>
  </si>
  <si>
    <t>T025</t>
  </si>
  <si>
    <t>T026</t>
  </si>
  <si>
    <t>T027</t>
  </si>
  <si>
    <t>USD</t>
  </si>
  <si>
    <t>T028</t>
  </si>
  <si>
    <t>Delta Travels</t>
  </si>
  <si>
    <t>US</t>
  </si>
  <si>
    <t>T029</t>
  </si>
  <si>
    <t>T030</t>
  </si>
  <si>
    <t>usd_rate</t>
  </si>
  <si>
    <t>merchant_id</t>
  </si>
  <si>
    <t>account_manager</t>
  </si>
  <si>
    <t>merchant_category</t>
  </si>
  <si>
    <t>default_region</t>
  </si>
  <si>
    <t>Aisha Khan</t>
  </si>
  <si>
    <t>Rohan Mehta</t>
  </si>
  <si>
    <t>Elena Rossi</t>
  </si>
  <si>
    <t>Nina Weber</t>
  </si>
  <si>
    <t>Marcus Lee</t>
  </si>
  <si>
    <t>Grocery</t>
  </si>
  <si>
    <t>Electronics</t>
  </si>
  <si>
    <t>Healthcare</t>
  </si>
  <si>
    <t>Home</t>
  </si>
  <si>
    <t>Travel</t>
  </si>
  <si>
    <t>high_value</t>
  </si>
  <si>
    <t>high_risk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</si>
</sst>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\Abb\c\ \Xyy\z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14" fontId="0" fillId="0" borderId="0" xfId="2" applyNumberFormat="1" applyFont="1"/>
    <xf numFmtId="14" fontId="0" fillId="0" borderId="0" xfId="0" applyNumberFormat="1"/>
    <xf numFmtId="1" fontId="0" fillId="0" borderId="0" xfId="2" applyNumberFormat="1" applyFont="1"/>
    <xf numFmtId="1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9" fontId="2" fillId="2" borderId="0" xfId="2" applyFont="1" applyFill="1"/>
    <xf numFmtId="14" fontId="2" fillId="2" borderId="0" xfId="2" applyNumberFormat="1" applyFont="1" applyFill="1"/>
    <xf numFmtId="164" fontId="2" fillId="2" borderId="0" xfId="1" applyNumberFormat="1" applyFont="1" applyFill="1"/>
    <xf numFmtId="0" fontId="2" fillId="2" borderId="0" xfId="0" applyFont="1" applyFill="1"/>
    <xf numFmtId="166" fontId="2" fillId="2" borderId="0" xfId="2" applyNumberFormat="1" applyFont="1" applyFill="1"/>
    <xf numFmtId="166" fontId="0" fillId="0" borderId="0" xfId="2" applyNumberFormat="1" applyFont="1"/>
    <xf numFmtId="166" fontId="0" fillId="0" borderId="0" xfId="0" applyNumberFormat="1"/>
    <xf numFmtId="1" fontId="2" fillId="2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dhitra/Desktop/fintech-assignment/01_data/raw/merchant_master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chant_master"/>
    </sheetNames>
    <sheetDataSet>
      <sheetData sheetId="0">
        <row r="1">
          <cell r="A1" t="str">
            <v>merchant_name</v>
          </cell>
          <cell r="B1" t="str">
            <v>merchant_id</v>
          </cell>
        </row>
        <row r="2">
          <cell r="A2" t="str">
            <v>Alpha Mart</v>
          </cell>
          <cell r="B2" t="str">
            <v>M001</v>
          </cell>
        </row>
        <row r="3">
          <cell r="A3" t="str">
            <v>Beta Stores</v>
          </cell>
          <cell r="B3" t="str">
            <v>M002</v>
          </cell>
        </row>
        <row r="4">
          <cell r="A4" t="str">
            <v>City Pharma</v>
          </cell>
          <cell r="B4" t="str">
            <v>M003</v>
          </cell>
        </row>
        <row r="5">
          <cell r="A5" t="str">
            <v>Delta Travels</v>
          </cell>
          <cell r="B5" t="str">
            <v>M004</v>
          </cell>
        </row>
        <row r="6">
          <cell r="A6" t="str">
            <v>Eco Home</v>
          </cell>
          <cell r="B6" t="str">
            <v>M005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topLeftCell="A8" workbookViewId="0">
      <selection activeCell="D2" sqref="D2:D26"/>
    </sheetView>
  </sheetViews>
  <sheetFormatPr defaultRowHeight="15" x14ac:dyDescent="0.25"/>
  <cols>
    <col min="1" max="1" width="13.7109375" bestFit="1" customWidth="1"/>
    <col min="2" max="2" width="16" style="3" bestFit="1" customWidth="1"/>
    <col min="3" max="3" width="15.5703125" style="14" bestFit="1" customWidth="1"/>
    <col min="4" max="4" width="12.140625" style="6" bestFit="1" customWidth="1"/>
    <col min="5" max="5" width="8.5703125" bestFit="1" customWidth="1"/>
    <col min="6" max="6" width="19.28515625" bestFit="1" customWidth="1"/>
    <col min="7" max="7" width="9.85546875" style="5" customWidth="1"/>
    <col min="8" max="8" width="15.28515625" bestFit="1" customWidth="1"/>
    <col min="9" max="9" width="7.5703125" bestFit="1" customWidth="1"/>
    <col min="10" max="10" width="17" bestFit="1" customWidth="1"/>
    <col min="11" max="11" width="17" customWidth="1"/>
    <col min="12" max="12" width="15" bestFit="1" customWidth="1"/>
    <col min="13" max="13" width="16.7109375" bestFit="1" customWidth="1"/>
    <col min="14" max="14" width="15.5703125" bestFit="1" customWidth="1"/>
    <col min="15" max="15" width="18.28515625" bestFit="1" customWidth="1"/>
    <col min="16" max="16" width="14.28515625" bestFit="1" customWidth="1"/>
  </cols>
  <sheetData>
    <row r="1" spans="1:18" x14ac:dyDescent="0.25">
      <c r="A1" s="8" t="s">
        <v>0</v>
      </c>
      <c r="B1" s="9" t="s">
        <v>1</v>
      </c>
      <c r="C1" s="12" t="s">
        <v>2</v>
      </c>
      <c r="D1" s="10" t="s">
        <v>3</v>
      </c>
      <c r="E1" s="8" t="s">
        <v>4</v>
      </c>
      <c r="F1" s="8" t="s">
        <v>5</v>
      </c>
      <c r="G1" s="15" t="s">
        <v>6</v>
      </c>
      <c r="H1" s="8" t="s">
        <v>7</v>
      </c>
      <c r="I1" s="8" t="s">
        <v>8</v>
      </c>
      <c r="J1" s="8" t="s">
        <v>9</v>
      </c>
      <c r="K1" s="8" t="s">
        <v>4</v>
      </c>
      <c r="L1" s="11" t="s">
        <v>68</v>
      </c>
      <c r="M1" s="8" t="s">
        <v>69</v>
      </c>
      <c r="N1" s="11" t="s">
        <v>70</v>
      </c>
      <c r="O1" s="11" t="s">
        <v>71</v>
      </c>
      <c r="P1" s="11" t="s">
        <v>72</v>
      </c>
      <c r="Q1" s="11" t="s">
        <v>83</v>
      </c>
      <c r="R1" s="11" t="s">
        <v>84</v>
      </c>
    </row>
    <row r="2" spans="1:18" ht="16.5" customHeight="1" x14ac:dyDescent="0.25">
      <c r="A2" s="1" t="s">
        <v>35</v>
      </c>
      <c r="B2" s="2">
        <v>46084</v>
      </c>
      <c r="C2" s="13" t="s">
        <v>36</v>
      </c>
      <c r="D2" s="6">
        <v>610000</v>
      </c>
      <c r="E2" s="1" t="s">
        <v>11</v>
      </c>
      <c r="F2" s="1" t="s">
        <v>12</v>
      </c>
      <c r="G2" s="4">
        <v>77</v>
      </c>
      <c r="H2" s="1"/>
      <c r="I2" s="1" t="s">
        <v>20</v>
      </c>
      <c r="J2" s="1" t="s">
        <v>18</v>
      </c>
      <c r="K2" s="1" t="s">
        <v>11</v>
      </c>
      <c r="L2" s="7">
        <v>1.21E-2</v>
      </c>
      <c r="M2" t="str">
        <f>VLOOKUP(C2,[1]merchant_master!$A:$B,2,0)</f>
        <v>M002</v>
      </c>
      <c r="N2" t="s">
        <v>74</v>
      </c>
      <c r="O2" t="s">
        <v>74</v>
      </c>
      <c r="P2" t="s">
        <v>79</v>
      </c>
      <c r="Q2">
        <f>IF(OR(AND(H1="APAC", D1&gt;5000), AND(H1="EU", D1&gt;6000), AND(H1="US", D1&gt;7000)), 1, 0)</f>
        <v>0</v>
      </c>
      <c r="R2">
        <f>IF(OR(G1&gt;=70, ISNUMBER(SEARCH("chargeback", Status))), 1, 0)</f>
        <v>1</v>
      </c>
    </row>
    <row r="3" spans="1:18" x14ac:dyDescent="0.25">
      <c r="A3" s="1" t="s">
        <v>50</v>
      </c>
      <c r="B3" s="2">
        <v>46086</v>
      </c>
      <c r="C3" s="13" t="s">
        <v>25</v>
      </c>
      <c r="D3" s="6">
        <v>520000</v>
      </c>
      <c r="E3" s="1" t="s">
        <v>11</v>
      </c>
      <c r="F3" s="1" t="s">
        <v>12</v>
      </c>
      <c r="G3" s="4">
        <v>75</v>
      </c>
      <c r="H3" s="1" t="s">
        <v>13</v>
      </c>
      <c r="I3" s="1" t="s">
        <v>27</v>
      </c>
      <c r="J3" s="1" t="s">
        <v>15</v>
      </c>
      <c r="K3" s="1" t="s">
        <v>11</v>
      </c>
      <c r="L3" s="7">
        <v>1.18E-2</v>
      </c>
      <c r="M3" t="str">
        <f>VLOOKUP(C3,[1]merchant_master!$A:$B,2,0)</f>
        <v>M001</v>
      </c>
      <c r="N3" t="s">
        <v>73</v>
      </c>
      <c r="O3" t="s">
        <v>73</v>
      </c>
      <c r="P3" t="s">
        <v>78</v>
      </c>
      <c r="Q3">
        <f>IF(OR(AND(H2="APAC", D2&gt;5000), AND(H2="EU", D2&gt;6000), AND(H2="US", D2&gt;7000)), 1, 0)</f>
        <v>0</v>
      </c>
      <c r="R3">
        <f>IF(OR(G2&gt;=70, ISNUMBER(SEARCH("chargeback", Status))), 1, 0)</f>
        <v>1</v>
      </c>
    </row>
    <row r="4" spans="1:18" x14ac:dyDescent="0.25">
      <c r="A4" s="1" t="s">
        <v>19</v>
      </c>
      <c r="B4" s="2">
        <v>46082</v>
      </c>
      <c r="C4" s="13" t="s">
        <v>36</v>
      </c>
      <c r="D4" s="6">
        <v>510000</v>
      </c>
      <c r="E4" s="1" t="s">
        <v>11</v>
      </c>
      <c r="F4" s="1" t="s">
        <v>12</v>
      </c>
      <c r="G4" s="4">
        <v>71</v>
      </c>
      <c r="H4" s="1" t="s">
        <v>13</v>
      </c>
      <c r="I4" s="1" t="s">
        <v>20</v>
      </c>
      <c r="J4" s="1" t="s">
        <v>21</v>
      </c>
      <c r="K4" s="1" t="s">
        <v>11</v>
      </c>
      <c r="L4" s="7">
        <v>1.1900000000000001E-2</v>
      </c>
      <c r="M4" t="str">
        <f>VLOOKUP(C4,[1]merchant_master!$A:$B,2,0)</f>
        <v>M002</v>
      </c>
      <c r="N4" t="s">
        <v>74</v>
      </c>
      <c r="O4" t="s">
        <v>74</v>
      </c>
      <c r="P4" t="s">
        <v>79</v>
      </c>
      <c r="Q4">
        <f>IF(OR(AND(H3="APAC", D3&gt;5000), AND(H3="EU", D3&gt;6000), AND(H3="US", D3&gt;7000)), 1, 0)</f>
        <v>1</v>
      </c>
      <c r="R4">
        <f>IF(OR(G3&gt;=70, ISNUMBER(SEARCH("chargeback", Status))), 1, 0)</f>
        <v>1</v>
      </c>
    </row>
    <row r="5" spans="1:18" x14ac:dyDescent="0.25">
      <c r="A5" s="1" t="s">
        <v>43</v>
      </c>
      <c r="B5" s="2">
        <v>46085</v>
      </c>
      <c r="C5" s="13" t="s">
        <v>36</v>
      </c>
      <c r="D5" s="6">
        <v>470000</v>
      </c>
      <c r="E5" s="1" t="s">
        <v>11</v>
      </c>
      <c r="F5" s="1" t="s">
        <v>12</v>
      </c>
      <c r="G5" s="4">
        <v>73</v>
      </c>
      <c r="H5" s="1" t="s">
        <v>13</v>
      </c>
      <c r="I5" s="1" t="s">
        <v>14</v>
      </c>
      <c r="J5" s="1" t="s">
        <v>21</v>
      </c>
      <c r="K5" s="1" t="s">
        <v>11</v>
      </c>
      <c r="L5" s="7">
        <v>1.2E-2</v>
      </c>
      <c r="M5" t="str">
        <f>VLOOKUP(C5,[1]merchant_master!$A:$B,2,0)</f>
        <v>M002</v>
      </c>
      <c r="N5" t="s">
        <v>74</v>
      </c>
      <c r="O5" t="s">
        <v>74</v>
      </c>
      <c r="P5" t="s">
        <v>79</v>
      </c>
      <c r="Q5">
        <f>IF(OR(AND(H4="APAC", D4&gt;5000), AND(H4="EU", D4&gt;6000), AND(H4="US", D4&gt;7000)), 1, 0)</f>
        <v>1</v>
      </c>
      <c r="R5">
        <f>IF(OR(G4&gt;=70, ISNUMBER(SEARCH("chargeback", Status))), 1, 0)</f>
        <v>1</v>
      </c>
    </row>
    <row r="6" spans="1:18" x14ac:dyDescent="0.25">
      <c r="A6" s="1" t="s">
        <v>29</v>
      </c>
      <c r="B6" s="2">
        <v>46083</v>
      </c>
      <c r="C6" s="13" t="s">
        <v>25</v>
      </c>
      <c r="D6" s="6">
        <v>450000</v>
      </c>
      <c r="E6" s="1" t="s">
        <v>11</v>
      </c>
      <c r="F6" s="1" t="s">
        <v>30</v>
      </c>
      <c r="G6" s="4">
        <v>83</v>
      </c>
      <c r="H6" s="1" t="s">
        <v>13</v>
      </c>
      <c r="I6" s="1" t="s">
        <v>31</v>
      </c>
      <c r="J6" s="1" t="s">
        <v>18</v>
      </c>
      <c r="K6" s="1" t="s">
        <v>11</v>
      </c>
      <c r="L6" s="7">
        <v>1.2E-2</v>
      </c>
      <c r="M6" t="str">
        <f>VLOOKUP(C6,[1]merchant_master!$A:$B,2,0)</f>
        <v>M001</v>
      </c>
      <c r="N6" t="s">
        <v>73</v>
      </c>
      <c r="O6" t="s">
        <v>73</v>
      </c>
      <c r="P6" t="s">
        <v>78</v>
      </c>
      <c r="Q6">
        <f>IF(OR(AND(H5="APAC", D5&gt;5000), AND(H5="EU", D5&gt;6000), AND(H5="US", D5&gt;7000)), 1, 0)</f>
        <v>1</v>
      </c>
      <c r="R6">
        <f>IF(OR(G5&gt;=70, ISNUMBER(SEARCH("chargeback", Status))), 1, 0)</f>
        <v>1</v>
      </c>
    </row>
    <row r="7" spans="1:18" x14ac:dyDescent="0.25">
      <c r="A7" s="1" t="s">
        <v>10</v>
      </c>
      <c r="B7" s="2">
        <v>46082</v>
      </c>
      <c r="C7" s="13" t="s">
        <v>25</v>
      </c>
      <c r="D7" s="6">
        <v>420000</v>
      </c>
      <c r="E7" s="1" t="s">
        <v>11</v>
      </c>
      <c r="F7" s="1" t="s">
        <v>12</v>
      </c>
      <c r="G7">
        <v>62</v>
      </c>
      <c r="H7" s="1" t="s">
        <v>13</v>
      </c>
      <c r="I7" s="1" t="s">
        <v>14</v>
      </c>
      <c r="J7" s="1" t="s">
        <v>15</v>
      </c>
      <c r="K7" s="1" t="s">
        <v>11</v>
      </c>
      <c r="L7" s="7">
        <v>1.1900000000000001E-2</v>
      </c>
      <c r="M7" t="str">
        <f>VLOOKUP(C7,[1]merchant_master!$A:$B,2,0)</f>
        <v>M001</v>
      </c>
      <c r="N7" t="s">
        <v>73</v>
      </c>
      <c r="O7" t="s">
        <v>73</v>
      </c>
      <c r="P7" t="s">
        <v>78</v>
      </c>
      <c r="Q7">
        <f>IF(OR(AND(H6="APAC", D6&gt;5000), AND(H6="EU", D6&gt;6000), AND(H6="US", D6&gt;7000)), 1, 0)</f>
        <v>1</v>
      </c>
      <c r="R7">
        <f>IF(OR(G6&gt;=70, ISNUMBER(SEARCH("chargeback", Status))), 1, 0)</f>
        <v>1</v>
      </c>
    </row>
    <row r="8" spans="1:18" x14ac:dyDescent="0.25">
      <c r="A8" s="1" t="s">
        <v>52</v>
      </c>
      <c r="B8" s="2">
        <v>46087</v>
      </c>
      <c r="C8" s="13" t="s">
        <v>25</v>
      </c>
      <c r="D8" s="6">
        <v>410000</v>
      </c>
      <c r="E8" s="1" t="s">
        <v>11</v>
      </c>
      <c r="F8" s="1" t="s">
        <v>12</v>
      </c>
      <c r="G8" s="4">
        <v>60</v>
      </c>
      <c r="H8" s="1" t="s">
        <v>13</v>
      </c>
      <c r="I8" s="1" t="s">
        <v>33</v>
      </c>
      <c r="J8" s="1" t="s">
        <v>15</v>
      </c>
      <c r="K8" s="1" t="s">
        <v>11</v>
      </c>
      <c r="L8" s="7">
        <v>1.1900000000000001E-2</v>
      </c>
      <c r="M8" t="str">
        <f>VLOOKUP(C8,[1]merchant_master!$A:$B,2,0)</f>
        <v>M001</v>
      </c>
      <c r="N8" t="s">
        <v>73</v>
      </c>
      <c r="O8" t="s">
        <v>73</v>
      </c>
      <c r="P8" t="s">
        <v>78</v>
      </c>
      <c r="Q8">
        <f>IF(OR(AND(H7="APAC", D7&gt;5000), AND(H7="EU", D7&gt;6000), AND(H7="US", D7&gt;7000)), 1, 0)</f>
        <v>1</v>
      </c>
      <c r="R8">
        <f>IF(OR(G7&gt;=70, ISNUMBER(SEARCH("chargeback", Status))), 1, 0)</f>
        <v>0</v>
      </c>
    </row>
    <row r="9" spans="1:18" x14ac:dyDescent="0.25">
      <c r="A9" s="1" t="s">
        <v>24</v>
      </c>
      <c r="B9" s="2">
        <v>46083</v>
      </c>
      <c r="C9" s="13" t="s">
        <v>25</v>
      </c>
      <c r="D9" s="6">
        <v>390000</v>
      </c>
      <c r="E9" s="1" t="s">
        <v>11</v>
      </c>
      <c r="F9" s="1" t="s">
        <v>12</v>
      </c>
      <c r="G9" s="4">
        <v>58</v>
      </c>
      <c r="H9" s="1"/>
      <c r="I9" s="1" t="s">
        <v>14</v>
      </c>
      <c r="J9" s="1" t="s">
        <v>15</v>
      </c>
      <c r="K9" s="1" t="s">
        <v>11</v>
      </c>
      <c r="L9" s="7">
        <v>1.2E-2</v>
      </c>
      <c r="M9" t="str">
        <f>VLOOKUP(C9,[1]merchant_master!$A:$B,2,0)</f>
        <v>M001</v>
      </c>
      <c r="N9" t="s">
        <v>73</v>
      </c>
      <c r="O9" t="s">
        <v>73</v>
      </c>
      <c r="P9" t="s">
        <v>78</v>
      </c>
      <c r="Q9">
        <f>IF(OR(AND(H8="APAC", D8&gt;5000), AND(H8="EU", D8&gt;6000), AND(H8="US", D8&gt;7000)), 1, 0)</f>
        <v>1</v>
      </c>
      <c r="R9">
        <f>IF(OR(G8&gt;=70, ISNUMBER(SEARCH("chargeback", Status))), 1, 0)</f>
        <v>0</v>
      </c>
    </row>
    <row r="10" spans="1:18" x14ac:dyDescent="0.25">
      <c r="A10" s="1" t="s">
        <v>32</v>
      </c>
      <c r="B10" s="2">
        <v>46084</v>
      </c>
      <c r="C10" s="13" t="s">
        <v>36</v>
      </c>
      <c r="D10" s="6">
        <v>340000</v>
      </c>
      <c r="E10" s="1" t="s">
        <v>11</v>
      </c>
      <c r="F10" s="1" t="s">
        <v>12</v>
      </c>
      <c r="G10" s="4">
        <v>59</v>
      </c>
      <c r="H10" s="1"/>
      <c r="I10" s="1" t="s">
        <v>33</v>
      </c>
      <c r="J10" s="1" t="s">
        <v>15</v>
      </c>
      <c r="K10" s="1" t="s">
        <v>11</v>
      </c>
      <c r="L10" s="7">
        <v>1.21E-2</v>
      </c>
      <c r="M10" t="str">
        <f>VLOOKUP(C10,[1]merchant_master!$A:$B,2,0)</f>
        <v>M002</v>
      </c>
      <c r="N10" t="s">
        <v>74</v>
      </c>
      <c r="O10" t="s">
        <v>74</v>
      </c>
      <c r="P10" t="s">
        <v>79</v>
      </c>
      <c r="Q10">
        <f>IF(OR(AND(H9="APAC", D9&gt;5000), AND(H9="EU", D9&gt;6000), AND(H9="US", D9&gt;7000)), 1, 0)</f>
        <v>0</v>
      </c>
      <c r="R10">
        <f>IF(OR(G9&gt;=70, ISNUMBER(SEARCH("chargeback", Status))), 1, 0)</f>
        <v>0</v>
      </c>
    </row>
    <row r="11" spans="1:18" x14ac:dyDescent="0.25">
      <c r="A11" s="1" t="s">
        <v>51</v>
      </c>
      <c r="B11" s="2">
        <v>46087</v>
      </c>
      <c r="C11" s="13" t="s">
        <v>36</v>
      </c>
      <c r="D11" s="6">
        <v>330000</v>
      </c>
      <c r="E11" s="1" t="s">
        <v>11</v>
      </c>
      <c r="F11" s="1" t="s">
        <v>12</v>
      </c>
      <c r="G11" s="4">
        <v>63</v>
      </c>
      <c r="H11" s="1"/>
      <c r="I11" s="1" t="s">
        <v>31</v>
      </c>
      <c r="J11" s="1" t="s">
        <v>18</v>
      </c>
      <c r="K11" s="1" t="s">
        <v>11</v>
      </c>
      <c r="L11" s="7">
        <v>1.1900000000000001E-2</v>
      </c>
      <c r="M11" t="str">
        <f>VLOOKUP(C11,[1]merchant_master!$A:$B,2,0)</f>
        <v>M002</v>
      </c>
      <c r="N11" t="s">
        <v>74</v>
      </c>
      <c r="O11" t="s">
        <v>74</v>
      </c>
      <c r="P11" t="s">
        <v>79</v>
      </c>
      <c r="Q11">
        <f>IF(OR(AND(H10="APAC", D10&gt;5000), AND(H10="EU", D10&gt;6000), AND(H10="US", D10&gt;7000)), 1, 0)</f>
        <v>0</v>
      </c>
      <c r="R11">
        <f>IF(OR(G10&gt;=70, ISNUMBER(SEARCH("chargeback", Status))), 1, 0)</f>
        <v>0</v>
      </c>
    </row>
    <row r="12" spans="1:18" x14ac:dyDescent="0.25">
      <c r="A12" s="1" t="s">
        <v>41</v>
      </c>
      <c r="B12" s="2">
        <v>46085</v>
      </c>
      <c r="C12" s="13" t="s">
        <v>25</v>
      </c>
      <c r="D12" s="6">
        <v>310000</v>
      </c>
      <c r="E12" s="1" t="s">
        <v>11</v>
      </c>
      <c r="F12" s="1" t="s">
        <v>12</v>
      </c>
      <c r="G12" s="4">
        <v>54</v>
      </c>
      <c r="H12" s="1" t="s">
        <v>13</v>
      </c>
      <c r="I12" s="1" t="s">
        <v>42</v>
      </c>
      <c r="J12" s="1" t="s">
        <v>15</v>
      </c>
      <c r="K12" s="1" t="s">
        <v>11</v>
      </c>
      <c r="L12" s="7">
        <v>1.2E-2</v>
      </c>
      <c r="M12" t="str">
        <f>VLOOKUP(C12,[1]merchant_master!$A:$B,2,0)</f>
        <v>M001</v>
      </c>
      <c r="N12" t="s">
        <v>73</v>
      </c>
      <c r="O12" t="s">
        <v>73</v>
      </c>
      <c r="P12" t="s">
        <v>78</v>
      </c>
      <c r="Q12">
        <f>IF(OR(AND(H11="APAC", D11&gt;5000), AND(H11="EU", D11&gt;6000), AND(H11="US", D11&gt;7000)), 1, 0)</f>
        <v>0</v>
      </c>
      <c r="R12">
        <f>IF(OR(G11&gt;=70, ISNUMBER(SEARCH("chargeback", Status))), 1, 0)</f>
        <v>0</v>
      </c>
    </row>
    <row r="13" spans="1:18" x14ac:dyDescent="0.25">
      <c r="A13" s="1" t="s">
        <v>26</v>
      </c>
      <c r="B13" s="2">
        <v>46083</v>
      </c>
      <c r="C13" s="13" t="s">
        <v>36</v>
      </c>
      <c r="D13" s="6">
        <v>275000</v>
      </c>
      <c r="E13" s="1" t="s">
        <v>11</v>
      </c>
      <c r="F13" s="1" t="s">
        <v>12</v>
      </c>
      <c r="G13" s="4">
        <v>64</v>
      </c>
      <c r="H13" s="1"/>
      <c r="I13" s="1" t="s">
        <v>27</v>
      </c>
      <c r="J13" s="1" t="s">
        <v>28</v>
      </c>
      <c r="K13" s="1" t="s">
        <v>11</v>
      </c>
      <c r="L13" s="7">
        <v>1.2E-2</v>
      </c>
      <c r="M13" t="str">
        <f>VLOOKUP(C13,[1]merchant_master!$A:$B,2,0)</f>
        <v>M002</v>
      </c>
      <c r="N13" t="s">
        <v>74</v>
      </c>
      <c r="O13" t="s">
        <v>74</v>
      </c>
      <c r="P13" t="s">
        <v>79</v>
      </c>
      <c r="Q13">
        <f>IF(OR(AND(H12="APAC", D12&gt;5000), AND(H12="EU", D12&gt;6000), AND(H12="US", D12&gt;7000)), 1, 0)</f>
        <v>1</v>
      </c>
      <c r="R13">
        <f>IF(OR(G12&gt;=70, ISNUMBER(SEARCH("chargeback", Status))), 1, 0)</f>
        <v>0</v>
      </c>
    </row>
    <row r="14" spans="1:18" x14ac:dyDescent="0.25">
      <c r="A14" s="1" t="s">
        <v>49</v>
      </c>
      <c r="B14" s="2">
        <v>46086</v>
      </c>
      <c r="C14" s="13" t="s">
        <v>25</v>
      </c>
      <c r="D14" s="6">
        <v>260000</v>
      </c>
      <c r="E14" s="1" t="s">
        <v>11</v>
      </c>
      <c r="F14" s="1" t="s">
        <v>46</v>
      </c>
      <c r="G14" s="4">
        <v>67</v>
      </c>
      <c r="H14" s="1" t="s">
        <v>13</v>
      </c>
      <c r="I14" s="1" t="s">
        <v>38</v>
      </c>
      <c r="J14" s="1" t="s">
        <v>28</v>
      </c>
      <c r="K14" s="1" t="s">
        <v>11</v>
      </c>
      <c r="L14" s="7">
        <v>1.18E-2</v>
      </c>
      <c r="M14" t="str">
        <f>VLOOKUP(C14,[1]merchant_master!$A:$B,2,0)</f>
        <v>M001</v>
      </c>
      <c r="N14" t="s">
        <v>73</v>
      </c>
      <c r="O14" t="s">
        <v>73</v>
      </c>
      <c r="P14" t="s">
        <v>78</v>
      </c>
      <c r="Q14">
        <f>IF(OR(AND(H13="APAC", D13&gt;5000), AND(H13="EU", D13&gt;6000), AND(H13="US", D13&gt;7000)), 1, 0)</f>
        <v>0</v>
      </c>
      <c r="R14">
        <f>IF(OR(G13&gt;=70, ISNUMBER(SEARCH("chargeback", Status))), 1, 0)</f>
        <v>0</v>
      </c>
    </row>
    <row r="15" spans="1:18" x14ac:dyDescent="0.25">
      <c r="A15" s="1" t="s">
        <v>39</v>
      </c>
      <c r="B15" s="2">
        <v>46085</v>
      </c>
      <c r="C15" s="13" t="s">
        <v>36</v>
      </c>
      <c r="D15" s="6">
        <v>250000</v>
      </c>
      <c r="E15" s="1" t="s">
        <v>11</v>
      </c>
      <c r="F15" s="1" t="s">
        <v>12</v>
      </c>
      <c r="G15" s="4">
        <v>61</v>
      </c>
      <c r="H15" s="1" t="s">
        <v>13</v>
      </c>
      <c r="I15" s="1" t="s">
        <v>40</v>
      </c>
      <c r="J15" s="1" t="s">
        <v>18</v>
      </c>
      <c r="K15" s="1" t="s">
        <v>11</v>
      </c>
      <c r="L15" s="7">
        <v>1.2E-2</v>
      </c>
      <c r="M15" t="str">
        <f>VLOOKUP(C15,[1]merchant_master!$A:$B,2,0)</f>
        <v>M002</v>
      </c>
      <c r="N15" t="s">
        <v>74</v>
      </c>
      <c r="O15" t="s">
        <v>74</v>
      </c>
      <c r="P15" t="s">
        <v>79</v>
      </c>
      <c r="Q15">
        <f>IF(OR(AND(H14="APAC", D14&gt;5000), AND(H14="EU", D14&gt;6000), AND(H14="US", D14&gt;7000)), 1, 0)</f>
        <v>1</v>
      </c>
      <c r="R15">
        <f>IF(OR(G14&gt;=70, ISNUMBER(SEARCH("chargeback", Status))), 1, 0)</f>
        <v>0</v>
      </c>
    </row>
    <row r="16" spans="1:18" x14ac:dyDescent="0.25">
      <c r="A16" s="1" t="s">
        <v>45</v>
      </c>
      <c r="B16" s="2">
        <v>46086</v>
      </c>
      <c r="C16" s="13" t="s">
        <v>36</v>
      </c>
      <c r="D16" s="6">
        <v>220000</v>
      </c>
      <c r="E16" s="1" t="s">
        <v>11</v>
      </c>
      <c r="F16" s="1" t="s">
        <v>46</v>
      </c>
      <c r="G16" s="4">
        <v>69</v>
      </c>
      <c r="H16" s="1"/>
      <c r="I16" s="1" t="s">
        <v>38</v>
      </c>
      <c r="J16" s="1" t="s">
        <v>18</v>
      </c>
      <c r="K16" s="1" t="s">
        <v>11</v>
      </c>
      <c r="L16" s="7">
        <v>1.18E-2</v>
      </c>
      <c r="M16" t="str">
        <f>VLOOKUP(C16,[1]merchant_master!$A:$B,2,0)</f>
        <v>M002</v>
      </c>
      <c r="N16" t="s">
        <v>74</v>
      </c>
      <c r="O16" t="s">
        <v>74</v>
      </c>
      <c r="P16" t="s">
        <v>79</v>
      </c>
      <c r="Q16">
        <f>IF(OR(AND(H15="APAC", D15&gt;5000), AND(H15="EU", D15&gt;6000), AND(H15="US", D15&gt;7000)), 1, 0)</f>
        <v>1</v>
      </c>
      <c r="R16">
        <f>IF(OR(G15&gt;=70, ISNUMBER(SEARCH("chargeback", Status))), 1, 0)</f>
        <v>0</v>
      </c>
    </row>
    <row r="17" spans="1:18" x14ac:dyDescent="0.25">
      <c r="A17" s="1" t="s">
        <v>16</v>
      </c>
      <c r="B17" s="2">
        <v>46082</v>
      </c>
      <c r="C17" s="13" t="s">
        <v>25</v>
      </c>
      <c r="D17" s="6">
        <v>210000</v>
      </c>
      <c r="E17" s="1" t="s">
        <v>11</v>
      </c>
      <c r="F17" s="1" t="s">
        <v>12</v>
      </c>
      <c r="G17" s="4">
        <v>55</v>
      </c>
      <c r="H17" s="1"/>
      <c r="I17" s="1" t="s">
        <v>17</v>
      </c>
      <c r="J17" s="1" t="s">
        <v>18</v>
      </c>
      <c r="K17" s="1" t="s">
        <v>11</v>
      </c>
      <c r="L17" s="7">
        <v>1.1900000000000001E-2</v>
      </c>
      <c r="M17" t="str">
        <f>VLOOKUP(C17,[1]merchant_master!$A:$B,2,0)</f>
        <v>M001</v>
      </c>
      <c r="N17" t="s">
        <v>73</v>
      </c>
      <c r="O17" t="s">
        <v>73</v>
      </c>
      <c r="P17" t="s">
        <v>78</v>
      </c>
      <c r="Q17">
        <f>IF(OR(AND(H16="APAC", D16&gt;5000), AND(H16="EU", D16&gt;6000), AND(H16="US", D16&gt;7000)), 1, 0)</f>
        <v>0</v>
      </c>
      <c r="R17">
        <f>IF(OR(G16&gt;=70, ISNUMBER(SEARCH("chargeback", Status))), 1, 0)</f>
        <v>0</v>
      </c>
    </row>
    <row r="18" spans="1:18" x14ac:dyDescent="0.25">
      <c r="A18" s="1" t="s">
        <v>37</v>
      </c>
      <c r="B18" s="2">
        <v>46084</v>
      </c>
      <c r="C18" s="13" t="s">
        <v>25</v>
      </c>
      <c r="D18" s="6">
        <v>195000</v>
      </c>
      <c r="E18" s="1" t="s">
        <v>11</v>
      </c>
      <c r="F18" s="1" t="s">
        <v>46</v>
      </c>
      <c r="G18" s="4"/>
      <c r="H18" s="1"/>
      <c r="I18" s="1" t="s">
        <v>38</v>
      </c>
      <c r="J18" s="1" t="s">
        <v>15</v>
      </c>
      <c r="K18" s="1" t="s">
        <v>11</v>
      </c>
      <c r="L18" s="7">
        <v>1.21E-2</v>
      </c>
      <c r="M18" t="str">
        <f>VLOOKUP(C18,[1]merchant_master!$A:$B,2,0)</f>
        <v>M001</v>
      </c>
      <c r="N18" t="s">
        <v>73</v>
      </c>
      <c r="O18" t="s">
        <v>73</v>
      </c>
      <c r="P18" t="s">
        <v>78</v>
      </c>
      <c r="Q18">
        <f>IF(OR(AND(H17="APAC", D17&gt;5000), AND(H17="EU", D17&gt;6000), AND(H17="US", D17&gt;7000)), 1, 0)</f>
        <v>0</v>
      </c>
      <c r="R18">
        <f>IF(OR(G17&gt;=70, ISNUMBER(SEARCH("chargeback", Status))), 1, 0)</f>
        <v>0</v>
      </c>
    </row>
    <row r="19" spans="1:18" x14ac:dyDescent="0.25">
      <c r="A19" s="1" t="s">
        <v>47</v>
      </c>
      <c r="B19" s="2">
        <v>46086</v>
      </c>
      <c r="C19" s="13" t="s">
        <v>36</v>
      </c>
      <c r="D19" s="6">
        <v>180000</v>
      </c>
      <c r="E19" s="1" t="s">
        <v>11</v>
      </c>
      <c r="F19" s="1" t="s">
        <v>46</v>
      </c>
      <c r="G19" s="4">
        <v>72</v>
      </c>
      <c r="H19" s="1" t="s">
        <v>13</v>
      </c>
      <c r="I19" s="1" t="s">
        <v>38</v>
      </c>
      <c r="J19" s="1" t="s">
        <v>18</v>
      </c>
      <c r="K19" s="1" t="s">
        <v>11</v>
      </c>
      <c r="L19" s="7">
        <v>1.18E-2</v>
      </c>
      <c r="M19" t="str">
        <f>VLOOKUP(C19,[1]merchant_master!$A:$B,2,0)</f>
        <v>M002</v>
      </c>
      <c r="N19" t="s">
        <v>74</v>
      </c>
      <c r="O19" t="s">
        <v>74</v>
      </c>
      <c r="P19" t="s">
        <v>79</v>
      </c>
      <c r="Q19">
        <f>IF(OR(AND(H18="APAC", D18&gt;5000), AND(H18="EU", D18&gt;6000), AND(H18="US", D18&gt;7000)), 1, 0)</f>
        <v>0</v>
      </c>
      <c r="R19">
        <f>IF(OR(G18&gt;=70, ISNUMBER(SEARCH("chargeback", Status))), 1, 0)</f>
        <v>0</v>
      </c>
    </row>
    <row r="20" spans="1:18" x14ac:dyDescent="0.25">
      <c r="A20" s="1" t="s">
        <v>22</v>
      </c>
      <c r="B20" s="2">
        <v>46083</v>
      </c>
      <c r="C20" s="13" t="s">
        <v>36</v>
      </c>
      <c r="D20" s="6">
        <v>160000</v>
      </c>
      <c r="E20" s="1" t="s">
        <v>11</v>
      </c>
      <c r="F20" s="1" t="s">
        <v>46</v>
      </c>
      <c r="G20" s="4">
        <v>68</v>
      </c>
      <c r="H20" s="1" t="s">
        <v>13</v>
      </c>
      <c r="I20" s="1" t="s">
        <v>23</v>
      </c>
      <c r="J20" s="1" t="s">
        <v>18</v>
      </c>
      <c r="K20" s="1" t="s">
        <v>11</v>
      </c>
      <c r="L20" s="7">
        <v>1.2E-2</v>
      </c>
      <c r="M20" t="str">
        <f>VLOOKUP(C20,[1]merchant_master!$A:$B,2,0)</f>
        <v>M002</v>
      </c>
      <c r="N20" t="s">
        <v>74</v>
      </c>
      <c r="O20" t="s">
        <v>74</v>
      </c>
      <c r="P20" t="s">
        <v>79</v>
      </c>
      <c r="Q20">
        <f>IF(OR(AND(H19="APAC", D19&gt;5000), AND(H19="EU", D19&gt;6000), AND(H19="US", D19&gt;7000)), 1, 0)</f>
        <v>1</v>
      </c>
      <c r="R20">
        <f>IF(OR(G19&gt;=70, ISNUMBER(SEARCH("chargeback", Status))), 1, 0)</f>
        <v>1</v>
      </c>
    </row>
    <row r="21" spans="1:18" x14ac:dyDescent="0.25">
      <c r="A21" s="1" t="s">
        <v>48</v>
      </c>
      <c r="B21" s="2">
        <v>46086</v>
      </c>
      <c r="C21" s="13" t="s">
        <v>36</v>
      </c>
      <c r="D21" s="6">
        <v>145000</v>
      </c>
      <c r="E21" s="1" t="s">
        <v>11</v>
      </c>
      <c r="F21" s="1" t="s">
        <v>30</v>
      </c>
      <c r="G21" s="4">
        <v>86</v>
      </c>
      <c r="H21" s="1" t="s">
        <v>13</v>
      </c>
      <c r="I21" s="1" t="s">
        <v>38</v>
      </c>
      <c r="J21" s="1" t="s">
        <v>15</v>
      </c>
      <c r="K21" s="1" t="s">
        <v>11</v>
      </c>
      <c r="L21" s="7">
        <v>1.18E-2</v>
      </c>
      <c r="M21" t="str">
        <f>VLOOKUP(C21,[1]merchant_master!$A:$B,2,0)</f>
        <v>M002</v>
      </c>
      <c r="N21" t="s">
        <v>74</v>
      </c>
      <c r="O21" t="s">
        <v>74</v>
      </c>
      <c r="P21" t="s">
        <v>79</v>
      </c>
      <c r="Q21">
        <f>IF(OR(AND(H20="APAC", D20&gt;5000), AND(H20="EU", D20&gt;6000), AND(H20="US", D20&gt;7000)), 1, 0)</f>
        <v>1</v>
      </c>
      <c r="R21">
        <f>IF(OR(G20&gt;=70, ISNUMBER(SEARCH("chargeback", Status))), 1, 0)</f>
        <v>0</v>
      </c>
    </row>
    <row r="22" spans="1:18" x14ac:dyDescent="0.25">
      <c r="A22" s="1" t="s">
        <v>44</v>
      </c>
      <c r="B22" s="2">
        <v>46085</v>
      </c>
      <c r="C22" s="13" t="s">
        <v>25</v>
      </c>
      <c r="D22" s="6">
        <v>130000</v>
      </c>
      <c r="E22" s="1" t="s">
        <v>11</v>
      </c>
      <c r="F22" s="1" t="s">
        <v>12</v>
      </c>
      <c r="G22" s="4">
        <v>52</v>
      </c>
      <c r="H22" s="1"/>
      <c r="I22" s="1" t="s">
        <v>17</v>
      </c>
      <c r="J22" s="1" t="s">
        <v>18</v>
      </c>
      <c r="K22" s="1" t="s">
        <v>11</v>
      </c>
      <c r="L22" s="7">
        <v>1.2E-2</v>
      </c>
      <c r="M22" t="str">
        <f>VLOOKUP(C22,[1]merchant_master!$A:$B,2,0)</f>
        <v>M001</v>
      </c>
      <c r="N22" t="s">
        <v>73</v>
      </c>
      <c r="O22" t="s">
        <v>73</v>
      </c>
      <c r="P22" t="s">
        <v>78</v>
      </c>
      <c r="Q22">
        <f>IF(OR(AND(H21="APAC", D21&gt;5000), AND(H21="EU", D21&gt;6000), AND(H21="US", D21&gt;7000)), 1, 0)</f>
        <v>1</v>
      </c>
      <c r="R22">
        <f>IF(OR(G21&gt;=70, ISNUMBER(SEARCH("chargeback", Status))), 1, 0)</f>
        <v>1</v>
      </c>
    </row>
    <row r="23" spans="1:18" x14ac:dyDescent="0.25">
      <c r="A23" s="1" t="s">
        <v>34</v>
      </c>
      <c r="B23" s="2">
        <v>46084</v>
      </c>
      <c r="C23" s="13" t="s">
        <v>25</v>
      </c>
      <c r="D23" s="6">
        <v>125000</v>
      </c>
      <c r="E23" s="1" t="s">
        <v>11</v>
      </c>
      <c r="F23" s="1" t="s">
        <v>12</v>
      </c>
      <c r="G23" s="4">
        <v>46</v>
      </c>
      <c r="H23" s="1" t="s">
        <v>13</v>
      </c>
      <c r="I23" s="1" t="s">
        <v>17</v>
      </c>
      <c r="J23" s="1" t="s">
        <v>28</v>
      </c>
      <c r="K23" s="1" t="s">
        <v>11</v>
      </c>
      <c r="L23" s="7">
        <v>1.21E-2</v>
      </c>
      <c r="M23" t="str">
        <f>VLOOKUP(C23,[1]merchant_master!$A:$B,2,0)</f>
        <v>M001</v>
      </c>
      <c r="N23" t="s">
        <v>73</v>
      </c>
      <c r="O23" t="s">
        <v>73</v>
      </c>
      <c r="P23" t="s">
        <v>78</v>
      </c>
      <c r="Q23">
        <f>IF(OR(AND(H22="APAC", D22&gt;5000), AND(H22="EU", D22&gt;6000), AND(H22="US", D22&gt;7000)), 1, 0)</f>
        <v>0</v>
      </c>
      <c r="R23">
        <f>IF(OR(G22&gt;=70, ISNUMBER(SEARCH("chargeback", Status))), 1, 0)</f>
        <v>0</v>
      </c>
    </row>
    <row r="24" spans="1:18" x14ac:dyDescent="0.25">
      <c r="A24" s="1" t="s">
        <v>61</v>
      </c>
      <c r="B24" s="2">
        <v>46082</v>
      </c>
      <c r="C24" s="13" t="s">
        <v>64</v>
      </c>
      <c r="D24" s="6">
        <v>7200</v>
      </c>
      <c r="E24" s="1" t="s">
        <v>62</v>
      </c>
      <c r="F24" s="1" t="s">
        <v>12</v>
      </c>
      <c r="G24" s="4">
        <v>49</v>
      </c>
      <c r="H24" s="1" t="s">
        <v>65</v>
      </c>
      <c r="I24" s="1" t="s">
        <v>33</v>
      </c>
      <c r="J24" s="1" t="s">
        <v>18</v>
      </c>
      <c r="K24" s="1" t="s">
        <v>11</v>
      </c>
      <c r="L24" s="7">
        <v>1.1900000000000001E-2</v>
      </c>
      <c r="M24" t="str">
        <f>VLOOKUP(C24,[1]merchant_master!$A:$B,2,0)</f>
        <v>M004</v>
      </c>
      <c r="N24" t="s">
        <v>77</v>
      </c>
      <c r="O24" t="s">
        <v>77</v>
      </c>
      <c r="P24" t="s">
        <v>82</v>
      </c>
      <c r="Q24">
        <f>IF(OR(AND(H23="APAC", D23&gt;5000), AND(H23="EU", D23&gt;6000), AND(H23="US", D23&gt;7000)), 1, 0)</f>
        <v>1</v>
      </c>
      <c r="R24">
        <f>IF(OR(G23&gt;=70, ISNUMBER(SEARCH("chargeback", Status))), 1, 0)</f>
        <v>0</v>
      </c>
    </row>
    <row r="25" spans="1:18" x14ac:dyDescent="0.25">
      <c r="A25" s="1" t="s">
        <v>56</v>
      </c>
      <c r="B25" s="2">
        <v>46083</v>
      </c>
      <c r="C25" s="13" t="s">
        <v>57</v>
      </c>
      <c r="D25" s="6">
        <v>6100</v>
      </c>
      <c r="E25" s="1" t="s">
        <v>55</v>
      </c>
      <c r="F25" s="1" t="s">
        <v>30</v>
      </c>
      <c r="G25" s="4">
        <v>65</v>
      </c>
      <c r="H25" s="1" t="s">
        <v>58</v>
      </c>
      <c r="I25" s="1" t="s">
        <v>23</v>
      </c>
      <c r="J25" s="1" t="s">
        <v>18</v>
      </c>
      <c r="K25" s="1" t="s">
        <v>11</v>
      </c>
      <c r="L25" s="7">
        <v>1.2E-2</v>
      </c>
      <c r="M25" t="str">
        <f>VLOOKUP(C25,[1]merchant_master!$A:$B,2,0)</f>
        <v>M005</v>
      </c>
      <c r="N25" t="s">
        <v>76</v>
      </c>
      <c r="O25" t="s">
        <v>76</v>
      </c>
      <c r="P25" t="s">
        <v>81</v>
      </c>
      <c r="Q25">
        <f>IF(OR(AND(H24="APAC", D24&gt;5000), AND(H24="EU", D24&gt;6000), AND(H24="US", D24&gt;7000)), 1, 0)</f>
        <v>1</v>
      </c>
      <c r="R25">
        <f>IF(OR(G24&gt;=70, ISNUMBER(SEARCH("chargeback", Status))), 1, 0)</f>
        <v>0</v>
      </c>
    </row>
    <row r="26" spans="1:18" x14ac:dyDescent="0.25">
      <c r="A26" s="1" t="s">
        <v>53</v>
      </c>
      <c r="B26" s="2">
        <v>46082</v>
      </c>
      <c r="C26" s="13" t="s">
        <v>54</v>
      </c>
      <c r="D26" s="6">
        <v>5200</v>
      </c>
      <c r="E26" s="1" t="s">
        <v>55</v>
      </c>
      <c r="F26" s="1" t="s">
        <v>12</v>
      </c>
      <c r="G26" s="4">
        <v>42</v>
      </c>
      <c r="H26" s="1" t="s">
        <v>58</v>
      </c>
      <c r="I26" s="1" t="s">
        <v>20</v>
      </c>
      <c r="J26" s="1" t="s">
        <v>18</v>
      </c>
      <c r="K26" s="1" t="s">
        <v>11</v>
      </c>
      <c r="L26" s="7">
        <v>1.1900000000000001E-2</v>
      </c>
      <c r="M26" t="str">
        <f>VLOOKUP(C26,[1]merchant_master!$A:$B,2,0)</f>
        <v>M003</v>
      </c>
      <c r="N26" t="s">
        <v>75</v>
      </c>
      <c r="O26" t="s">
        <v>75</v>
      </c>
      <c r="P26" t="s">
        <v>80</v>
      </c>
      <c r="Q26">
        <f>IF(OR(AND(H25="APAC", D25&gt;5000), AND(H25="EU", D25&gt;6000), AND(H25="US", D25&gt;7000)), 1, 0)</f>
        <v>1</v>
      </c>
      <c r="R26">
        <f>IF(OR(G25&gt;=70, ISNUMBER(SEARCH("chargeback", Status))), 1, 0)</f>
        <v>0</v>
      </c>
    </row>
    <row r="27" spans="1:18" x14ac:dyDescent="0.25">
      <c r="A27" s="1" t="s">
        <v>60</v>
      </c>
      <c r="B27" s="2">
        <v>46086</v>
      </c>
      <c r="C27" s="13" t="s">
        <v>57</v>
      </c>
      <c r="D27" s="6">
        <v>3300</v>
      </c>
      <c r="E27" s="1" t="s">
        <v>55</v>
      </c>
      <c r="F27" s="1" t="s">
        <v>46</v>
      </c>
      <c r="G27" s="4">
        <v>44</v>
      </c>
      <c r="H27" s="1" t="s">
        <v>58</v>
      </c>
      <c r="I27" s="1" t="s">
        <v>31</v>
      </c>
      <c r="J27" s="1" t="s">
        <v>21</v>
      </c>
      <c r="K27" s="1" t="s">
        <v>11</v>
      </c>
      <c r="L27" s="7">
        <v>1.18E-2</v>
      </c>
      <c r="M27" t="str">
        <f>VLOOKUP(C27,[1]merchant_master!$A:$B,2,0)</f>
        <v>M005</v>
      </c>
      <c r="N27" t="s">
        <v>76</v>
      </c>
      <c r="O27" t="s">
        <v>76</v>
      </c>
      <c r="P27" t="s">
        <v>81</v>
      </c>
      <c r="Q27">
        <f>IF(OR(AND(H26="APAC", D26&gt;5000), AND(H26="EU", D26&gt;6000), AND(H26="US", D26&gt;7000)), 1, 0)</f>
        <v>0</v>
      </c>
      <c r="R27">
        <f>IF(OR(G26&gt;=70, ISNUMBER(SEARCH("chargeback", Status))), 1, 0)</f>
        <v>0</v>
      </c>
    </row>
    <row r="28" spans="1:18" x14ac:dyDescent="0.25">
      <c r="A28" s="1" t="s">
        <v>63</v>
      </c>
      <c r="B28" s="2">
        <v>46083</v>
      </c>
      <c r="C28" s="13" t="s">
        <v>64</v>
      </c>
      <c r="D28" s="6">
        <v>3100</v>
      </c>
      <c r="E28" s="1" t="s">
        <v>62</v>
      </c>
      <c r="F28" s="1" t="s">
        <v>12</v>
      </c>
      <c r="G28" s="4">
        <v>41</v>
      </c>
      <c r="H28" s="1" t="s">
        <v>65</v>
      </c>
      <c r="I28" s="1" t="s">
        <v>38</v>
      </c>
      <c r="J28" s="1" t="s">
        <v>18</v>
      </c>
      <c r="K28" s="1" t="s">
        <v>11</v>
      </c>
      <c r="L28" s="7">
        <v>1.2E-2</v>
      </c>
      <c r="M28" t="str">
        <f>VLOOKUP(C28,[1]merchant_master!$A:$B,2,0)</f>
        <v>M004</v>
      </c>
      <c r="N28" t="s">
        <v>77</v>
      </c>
      <c r="O28" t="s">
        <v>77</v>
      </c>
      <c r="P28" t="s">
        <v>82</v>
      </c>
      <c r="Q28">
        <f>IF(OR(AND(H27="APAC", D27&gt;5000), AND(H27="EU", D27&gt;6000), AND(H27="US", D27&gt;7000)), 1, 0)</f>
        <v>0</v>
      </c>
      <c r="R28">
        <f>IF(OR(G27&gt;=70, ISNUMBER(SEARCH("chargeback", Status))), 1, 0)</f>
        <v>0</v>
      </c>
    </row>
    <row r="29" spans="1:18" x14ac:dyDescent="0.25">
      <c r="A29" s="1" t="s">
        <v>59</v>
      </c>
      <c r="B29" s="2">
        <v>46084</v>
      </c>
      <c r="C29" s="13" t="s">
        <v>54</v>
      </c>
      <c r="D29" s="6">
        <v>2800</v>
      </c>
      <c r="E29" s="1" t="s">
        <v>55</v>
      </c>
      <c r="F29" s="1" t="s">
        <v>12</v>
      </c>
      <c r="G29" s="4">
        <v>38</v>
      </c>
      <c r="H29" s="1" t="s">
        <v>58</v>
      </c>
      <c r="I29" s="1" t="s">
        <v>27</v>
      </c>
      <c r="J29" s="1" t="s">
        <v>28</v>
      </c>
      <c r="K29" s="1" t="s">
        <v>11</v>
      </c>
      <c r="L29" s="7">
        <v>1.21E-2</v>
      </c>
      <c r="M29" t="str">
        <f>VLOOKUP(C29,[1]merchant_master!$A:$B,2,0)</f>
        <v>M003</v>
      </c>
      <c r="N29" t="s">
        <v>75</v>
      </c>
      <c r="O29" t="s">
        <v>75</v>
      </c>
      <c r="P29" t="s">
        <v>80</v>
      </c>
      <c r="Q29">
        <f>IF(OR(AND(H28="APAC", D28&gt;5000), AND(H28="EU", D28&gt;6000), AND(H28="US", D28&gt;7000)), 1, 0)</f>
        <v>0</v>
      </c>
      <c r="R29">
        <f>IF(OR(G28&gt;=70, ISNUMBER(SEARCH("chargeback", Status))), 1, 0)</f>
        <v>0</v>
      </c>
    </row>
    <row r="30" spans="1:18" x14ac:dyDescent="0.25">
      <c r="A30" s="1" t="s">
        <v>66</v>
      </c>
      <c r="B30" s="2">
        <v>46085</v>
      </c>
      <c r="C30" s="13" t="s">
        <v>64</v>
      </c>
      <c r="D30" s="6">
        <v>2500</v>
      </c>
      <c r="E30" s="1" t="s">
        <v>62</v>
      </c>
      <c r="F30" s="1" t="s">
        <v>30</v>
      </c>
      <c r="G30" s="4">
        <v>58</v>
      </c>
      <c r="H30" s="1" t="s">
        <v>65</v>
      </c>
      <c r="I30" s="1" t="s">
        <v>40</v>
      </c>
      <c r="J30" s="1" t="s">
        <v>28</v>
      </c>
      <c r="K30" s="1" t="s">
        <v>11</v>
      </c>
      <c r="L30" s="7">
        <v>1.2E-2</v>
      </c>
      <c r="M30" t="str">
        <f>VLOOKUP(C30,[1]merchant_master!$A:$B,2,0)</f>
        <v>M004</v>
      </c>
      <c r="N30" t="s">
        <v>77</v>
      </c>
      <c r="O30" t="s">
        <v>77</v>
      </c>
      <c r="P30" t="s">
        <v>82</v>
      </c>
      <c r="Q30">
        <f>IF(OR(AND(H29="APAC", D29&gt;5000), AND(H29="EU", D29&gt;6000), AND(H29="US", D29&gt;7000)), 1, 0)</f>
        <v>0</v>
      </c>
      <c r="R30">
        <f>IF(OR(G29&gt;=70, ISNUMBER(SEARCH("chargeback", Status))), 1, 0)</f>
        <v>0</v>
      </c>
    </row>
    <row r="31" spans="1:18" x14ac:dyDescent="0.25">
      <c r="A31" s="1" t="s">
        <v>67</v>
      </c>
      <c r="B31" s="2">
        <v>46087</v>
      </c>
      <c r="C31" s="13" t="s">
        <v>64</v>
      </c>
      <c r="D31" s="6">
        <v>1800</v>
      </c>
      <c r="E31" s="1" t="s">
        <v>62</v>
      </c>
      <c r="F31" s="1" t="s">
        <v>46</v>
      </c>
      <c r="G31" s="4">
        <v>47</v>
      </c>
      <c r="H31" s="1" t="s">
        <v>65</v>
      </c>
      <c r="I31" s="1" t="s">
        <v>42</v>
      </c>
      <c r="J31" s="1" t="s">
        <v>15</v>
      </c>
      <c r="K31" s="1" t="s">
        <v>11</v>
      </c>
      <c r="L31" s="7">
        <v>1.1900000000000001E-2</v>
      </c>
      <c r="M31" t="str">
        <f>VLOOKUP(C31,[1]merchant_master!$A:$B,2,0)</f>
        <v>M004</v>
      </c>
      <c r="N31" t="s">
        <v>77</v>
      </c>
      <c r="O31" t="s">
        <v>77</v>
      </c>
      <c r="P31" t="s">
        <v>82</v>
      </c>
      <c r="Q31">
        <f>IF(OR(AND(H30="APAC", D30&gt;5000), AND(H30="EU", D30&gt;6000), AND(H30="US", D30&gt;7000)), 1, 0)</f>
        <v>0</v>
      </c>
      <c r="R31">
        <f>IF(OR(G30&gt;=70, ISNUMBER(SEARCH("chargeback", Status))), 1, 0)</f>
        <v>0</v>
      </c>
    </row>
  </sheetData>
  <autoFilter ref="A1:R31">
    <sortState ref="A2:R31">
      <sortCondition descending="1" ref="D1:D3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Sadhitra</dc:creator>
  <cp:lastModifiedBy>Sadhitra</cp:lastModifiedBy>
  <dcterms:created xsi:type="dcterms:W3CDTF">2026-05-03T08:33:13Z</dcterms:created>
  <dcterms:modified xsi:type="dcterms:W3CDTF">2026-05-03T14:26:32Z</dcterms:modified>
</cp:coreProperties>
</file>